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cdeaa357604b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ny_Overview" sheetId="1" r:id="Rf7ebacf1015c4222"/>
    <x:sheet xmlns:r="http://schemas.openxmlformats.org/officeDocument/2006/relationships" name="Sales_Data" sheetId="2" r:id="Rcf31835d98924948"/>
    <x:sheet xmlns:r="http://schemas.openxmlformats.org/officeDocument/2006/relationships" name="Expenses" sheetId="3" r:id="R62a39a5643bc429e"/>
    <x:sheet xmlns:r="http://schemas.openxmlformats.org/officeDocument/2006/relationships" name="Employees" sheetId="4" r:id="Rc3a4506cd3e74cf8"/>
    <x:sheet xmlns:r="http://schemas.openxmlformats.org/officeDocument/2006/relationships" name="Support_Tickets" sheetId="5" r:id="Ra9f262aae2cb41e6"/>
    <x:sheet xmlns:r="http://schemas.openxmlformats.org/officeDocument/2006/relationships" name="Inventory" sheetId="6" r:id="Rd61787963c894802"/>
    <x:sheet xmlns:r="http://schemas.openxmlformats.org/officeDocument/2006/relationships" name="Summary" sheetId="7" r:id="Rbda558ce8b1e47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$#,##0.00"/>
    <x:numFmt numFmtId="202" formatCode="0"/>
    <x:numFmt numFmtId="203" formatCode="0.00"/>
    <x:numFmt numFmtId="204" formatCode="0.0"/>
    <x:numFmt numFmtId="205" formatCode="0.0%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  <x:font>
      <x:b/>
      <x:sz val="11"/>
      <x:color rgb="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243E"/>
      </x:patternFill>
    </x:fill>
    <x:fill>
      <x:patternFill patternType="solid">
        <x:fgColor rgb="1F4E78"/>
      </x:patternFill>
    </x:fill>
    <x:fill>
      <x:patternFill patternType="solid">
        <x:fgColor rgb="EAF2F8"/>
      </x:patternFill>
    </x:fill>
    <x:fill>
      <x:patternFill patternType="solid">
        <x:fgColor rgb="D9EAF7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5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</x:cellXfs>
  <x:cellStyles count="1">
    <x:cellStyle name="Normal" xfId="0"/>
  </x:cellStyles>
  <x:dxfs count="4">
    <x:dxf>
      <x:fill>
        <x:patternFill patternType="solid">
          <x:bgColor rgb="FDECEC"/>
        </x:patternFill>
      </x:fill>
    </x:dxf>
    <x:dxf>
      <x:fill>
        <x:patternFill patternType="solid">
          <x:bgColor rgb="EAF7EA"/>
        </x:patternFill>
      </x:fill>
    </x:dxf>
    <x:dxf>
      <x:fill>
        <x:patternFill patternType="solid">
          <x:bgColor rgb="FECACA"/>
        </x:patternFill>
      </x:fill>
    </x:dxf>
    <x:dxf>
      <x:fill>
        <x:patternFill patternType="solid">
          <x:bgColor rgb="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ba32d3d1c6407b" /><Relationship Type="http://schemas.openxmlformats.org/officeDocument/2006/relationships/theme" Target="/xl/theme/theme1.xml" Id="R6fb41a16dd2a4778" /><Relationship Type="http://schemas.openxmlformats.org/officeDocument/2006/relationships/sharedStrings" Target="/xl/sharedStrings.xml" Id="R7b72412d76a640a1" /><Relationship Type="http://schemas.openxmlformats.org/officeDocument/2006/relationships/worksheet" Target="/xl/worksheets/sheet1.xml" Id="Rf7ebacf1015c4222" /><Relationship Type="http://schemas.openxmlformats.org/officeDocument/2006/relationships/worksheet" Target="/xl/worksheets/sheet2.xml" Id="Rcf31835d98924948" /><Relationship Type="http://schemas.openxmlformats.org/officeDocument/2006/relationships/worksheet" Target="/xl/worksheets/sheet3.xml" Id="R62a39a5643bc429e" /><Relationship Type="http://schemas.openxmlformats.org/officeDocument/2006/relationships/worksheet" Target="/xl/worksheets/sheet4.xml" Id="Rc3a4506cd3e74cf8" /><Relationship Type="http://schemas.openxmlformats.org/officeDocument/2006/relationships/worksheet" Target="/xl/worksheets/sheet5.xml" Id="Ra9f262aae2cb41e6" /><Relationship Type="http://schemas.openxmlformats.org/officeDocument/2006/relationships/worksheet" Target="/xl/worksheets/sheet6.xml" Id="Rd61787963c894802" /><Relationship Type="http://schemas.openxmlformats.org/officeDocument/2006/relationships/worksheet" Target="/xl/worksheets/sheet7.xml" Id="Rbda558ce8b1e476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fcd0f93da4e48be" /><Relationship Type="http://schemas.openxmlformats.org/officeDocument/2006/relationships/chart" Target="/xl/drawings/charts/chart2.xml" Id="Rce33038f31a9444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by Product</a:t>
            </a:r>
          </a:p>
        </c:rich>
      </c:tx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cat>
            <c:strRef>
              <c:f>'Summary'!$D$5:$D$11</c:f>
              <c:strCache>
                <c:ptCount val="0"/>
              </c:strCache>
            </c:strRef>
          </c:cat>
          <c:val>
            <c:numRef>
              <c:f>'Summary'!$E$5:$E$11</c:f>
              <c:numCache>
                <c:formatCode>$#,##0.00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Gross Profit by Product</a:t>
            </a:r>
          </a:p>
        </c:rich>
      </c:tx>
      <c:overlay val="0"/>
    </c:title>
    <c:autoTitleDeleted val="0"/>
    <c:view3D/>
    <c:plotArea>
      <c:layout/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'Summary'!$D$5:$D$11</c:f>
              <c:strCache>
                <c:ptCount val="0"/>
              </c:strCache>
            </c:strRef>
          </c:cat>
          <c:val>
            <c:numRef>
              <c:f>'Summary'!$E$5:$E$11</c:f>
              <c:numCache>
                <c:formatCode>$#,##0.00</c:formatCode>
                <c:ptCount val="0"/>
              </c:numCache>
            </c:numRef>
          </c:val>
        </c:ser>
        <c:ser>
          <c:idx val="1"/>
          <c:order val="1"/>
          <c:tx>
            <c:v>Gross Profit</c:v>
          </c:tx>
          <c:cat>
            <c:strRef>
              <c:f>'Summary'!$D$5:$D$11</c:f>
              <c:strCache>
                <c:ptCount val="0"/>
              </c:strCache>
            </c:strRef>
          </c:cat>
          <c:val>
            <c:numRef>
              <c:f>'Summary'!$F$5:$F$11</c:f>
              <c:numCache>
                <c:formatCode>$#,##0.00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fcd0f93da4e48be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17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e33038f31a9444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alesTable" displayName="SalesTable" ref="A1:M145" headerRowCount="1">
  <x:tableColumns count="13">
    <x:tableColumn id="1" name="Order_ID"/>
    <x:tableColumn id="2" name="Order_Date"/>
    <x:tableColumn id="3" name="Customer"/>
    <x:tableColumn id="4" name="Region"/>
    <x:tableColumn id="5" name="Product"/>
    <x:tableColumn id="6" name="Units"/>
    <x:tableColumn id="7" name="Unit_Price"/>
    <x:tableColumn id="8" name="Revenue"/>
    <x:tableColumn id="9" name="COGS"/>
    <x:tableColumn id="10" name="Gross_Profit"/>
    <x:tableColumn id="11" name="Sales_Rep"/>
    <x:tableColumn id="12" name="Payment_Days"/>
    <x:tableColumn id="13" name="Paid_Status"/>
  </x:tableColumns>
  <x:tableStyleInfo name="TableStyleMedium2" showRowStripes="1"/>
</x:table>
</file>

<file path=xl/tables/table2.xml><?xml version="1.0" encoding="utf-8"?>
<x:table xmlns:x="http://schemas.openxmlformats.org/spreadsheetml/2006/main" id="1" name="ExpensesTable" displayName="ExpensesTable" ref="A1:J73" headerRowCount="1">
  <x:tableColumns count="10">
    <x:tableColumn id="1" name="Expense_ID"/>
    <x:tableColumn id="2" name="Date"/>
    <x:tableColumn id="3" name="Department"/>
    <x:tableColumn id="4" name="Category"/>
    <x:tableColumn id="5" name="Description"/>
    <x:tableColumn id="6" name="Budget_USD"/>
    <x:tableColumn id="7" name="Actual_USD"/>
    <x:tableColumn id="8" name="Variance"/>
    <x:tableColumn id="9" name="Owner"/>
    <x:tableColumn id="10" name="Status"/>
  </x:tableColumns>
  <x:tableStyleInfo name="TableStyleMedium2" showRowStripes="1"/>
</x:table>
</file>

<file path=xl/tables/table3.xml><?xml version="1.0" encoding="utf-8"?>
<x:table xmlns:x="http://schemas.openxmlformats.org/spreadsheetml/2006/main" id="1" name="EmployeesTable" displayName="EmployeesTable" ref="A1:K87" headerRowCount="1">
  <x:tableColumns count="11">
    <x:tableColumn id="1" name="Employee_ID"/>
    <x:tableColumn id="2" name="Name"/>
    <x:tableColumn id="3" name="Department"/>
    <x:tableColumn id="4" name="Role"/>
    <x:tableColumn id="5" name="Hire_Date"/>
    <x:tableColumn id="6" name="Base_Salary"/>
    <x:tableColumn id="7" name="Overtime_Hours_Q1_2026"/>
    <x:tableColumn id="8" name="Performance_Score"/>
    <x:tableColumn id="9" name="Absence_Days"/>
    <x:tableColumn id="10" name="Manager"/>
    <x:tableColumn id="11" name="Status"/>
  </x:tableColumns>
  <x:tableStyleInfo name="TableStyleMedium2" showRowStripes="1"/>
</x:table>
</file>

<file path=xl/tables/table4.xml><?xml version="1.0" encoding="utf-8"?>
<x:table xmlns:x="http://schemas.openxmlformats.org/spreadsheetml/2006/main" id="1" name="SupportTable" displayName="SupportTable" ref="A1:J91" headerRowCount="1">
  <x:tableColumns count="10">
    <x:tableColumn id="1" name="Ticket_ID"/>
    <x:tableColumn id="2" name="Opened_Date"/>
    <x:tableColumn id="3" name="Customer"/>
    <x:tableColumn id="4" name="Product"/>
    <x:tableColumn id="5" name="Issue_Type"/>
    <x:tableColumn id="6" name="Severity"/>
    <x:tableColumn id="7" name="Resolution_Hours"/>
    <x:tableColumn id="8" name="Resolved"/>
    <x:tableColumn id="9" name="Root_Cause"/>
    <x:tableColumn id="10" name="Repeat_Customer"/>
  </x:tableColumns>
  <x:tableStyleInfo name="TableStyleMedium2" showRowStripes="1"/>
</x:table>
</file>

<file path=xl/tables/table5.xml><?xml version="1.0" encoding="utf-8"?>
<x:table xmlns:x="http://schemas.openxmlformats.org/spreadsheetml/2006/main" id="1" name="InventoryTable" displayName="InventoryTable" ref="A1:K13" headerRowCount="1">
  <x:tableColumns count="11">
    <x:tableColumn id="1" name="Item_ID"/>
    <x:tableColumn id="2" name="Item_Name"/>
    <x:tableColumn id="3" name="Category"/>
    <x:tableColumn id="4" name="Supplier"/>
    <x:tableColumn id="5" name="Stock_On_Hand"/>
    <x:tableColumn id="6" name="Reorder_Level"/>
    <x:tableColumn id="7" name="Unit_Cost"/>
    <x:tableColumn id="8" name="Inventory_Value"/>
    <x:tableColumn id="9" name="Monthly_Usage"/>
    <x:tableColumn id="10" name="Lead_Time_Days"/>
    <x:tableColumn id="11" name="Stock_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b972cac93d4c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eefa29ef1bd47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27f6c4e1b65422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6ae8a9b1f584e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24069249e8c49f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e01484ed099b46af" /></Relationships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50.56999969482422" hidden="0" customWidth="1"/>
    <x:col min="3" max="3" width="0.05000000074505806" hidden="0" customWidth="1"/>
    <x:col min="4" max="4" width="26.56999969482422" hidden="0" customWidth="1"/>
    <x:col min="5" max="5" width="62" hidden="0" customWidth="1"/>
    <x:col min="6" max="6" width="0.05000000074505806" hidden="0" customWidth="1"/>
    <x:col min="7" max="7" width="0.05000000074505806" hidden="0" customWidth="1"/>
    <x:col min="8" max="8" width="0.05000000074505806" hidden="0" customWidth="1"/>
  </x:cols>
  <x:sheetData>
    <x:row r="1" ht="17.08984375" hidden="0" customHeight="1">
      <x:c r="A1" s="4" t="str">
        <x:v>Test Company Dataset for LLM Analysis</x:v>
      </x:c>
      <x:c r="B1" s="4"/>
      <x:c r="C1" s="4"/>
      <x:c r="D1" s="4"/>
      <x:c r="E1" s="4"/>
      <x:c r="F1" s="4"/>
      <x:c r="G1" s="4"/>
      <x:c r="H1" s="4"/>
    </x:row>
    <x:row r="3" ht="17.08984375" hidden="0" customHeight="1">
      <x:c r="A3" s="8" t="str">
        <x:v>Field</x:v>
      </x:c>
      <x:c r="B3" s="8" t="str">
        <x:v>Value</x:v>
      </x:c>
      <x:c r="D3" s="8" t="str">
        <x:v>Suggested Analysis Tasks</x:v>
      </x:c>
      <x:c r="E3" s="8" t="str"/>
      <x:c r="F3" s="8" t="str"/>
    </x:row>
    <x:row r="4" ht="17.08984375" hidden="0" customHeight="1">
      <x:c r="A4" t="str">
        <x:v>Company Name</x:v>
      </x:c>
      <x:c r="B4" t="str">
        <x:v>Nexa Manufacturing Ltd.</x:v>
      </x:c>
      <x:c r="D4" s="9" t="str">
        <x:v>1</x:v>
      </x:c>
      <x:c r="E4" s="9" t="str">
        <x:v>Identify revenue trends and seasonality</x:v>
      </x:c>
      <x:c r="F4" s="9" t="str"/>
    </x:row>
    <x:row r="5" ht="17.08984375" hidden="0" customHeight="1">
      <x:c r="A5" t="str">
        <x:v>Industry</x:v>
      </x:c>
      <x:c r="B5" t="str">
        <x:v>Industrial equipment manufacturing</x:v>
      </x:c>
      <x:c r="D5" s="9" t="str">
        <x:v>2</x:v>
      </x:c>
      <x:c r="E5" s="9" t="str">
        <x:v>Find highest-margin products and most profitable regions</x:v>
      </x:c>
      <x:c r="F5" s="9" t="str"/>
    </x:row>
    <x:row r="6" ht="17.08984375" hidden="0" customHeight="1">
      <x:c r="A6" t="str">
        <x:v>Headquarters</x:v>
      </x:c>
      <x:c r="B6" t="str">
        <x:v>Tripoli, Libya</x:v>
      </x:c>
      <x:c r="D6" s="9" t="str">
        <x:v>3</x:v>
      </x:c>
      <x:c r="E6" s="9" t="str">
        <x:v>Analyze employee performance and overtime patterns</x:v>
      </x:c>
      <x:c r="F6" s="9" t="str"/>
    </x:row>
    <x:row r="7" ht="17.08984375" hidden="0" customHeight="1">
      <x:c r="A7" t="str">
        <x:v>Founded</x:v>
      </x:c>
      <x:c r="B7" t="n">
        <x:v>2018</x:v>
      </x:c>
      <x:c r="D7" s="9" t="str">
        <x:v>4</x:v>
      </x:c>
      <x:c r="E7" s="9" t="str">
        <x:v>Check support ticket causes and repeat failure themes</x:v>
      </x:c>
      <x:c r="F7" s="9" t="str"/>
    </x:row>
    <x:row r="8" ht="17.08984375" hidden="0" customHeight="1">
      <x:c r="A8" t="str">
        <x:v>Employees</x:v>
      </x:c>
      <x:c r="B8" t="n">
        <x:v>86</x:v>
      </x:c>
      <x:c r="D8" s="9" t="str">
        <x:v>5</x:v>
      </x:c>
      <x:c r="E8" s="9" t="str">
        <x:v>Detect inventory risk and slow-moving stock</x:v>
      </x:c>
      <x:c r="F8" s="9" t="str"/>
    </x:row>
    <x:row r="9" ht="17.08984375" hidden="0" customHeight="1">
      <x:c r="A9" t="str">
        <x:v>Reporting Period</x:v>
      </x:c>
      <x:c r="B9" t="str">
        <x:v>2025 Full Year + Jan-Mar 2026</x:v>
      </x:c>
      <x:c r="D9" s="9" t="str">
        <x:v>6</x:v>
      </x:c>
      <x:c r="E9" s="9" t="str">
        <x:v>Review customer concentration and payment delay risk</x:v>
      </x:c>
      <x:c r="F9" s="9" t="str"/>
    </x:row>
    <x:row r="10" ht="17.08984375" hidden="0" customHeight="1">
      <x:c r="A10" t="str">
        <x:v>Main Products</x:v>
      </x:c>
      <x:c r="B10" t="str">
        <x:v>Pump assemblies, control panels, spare parts</x:v>
      </x:c>
      <x:c r="D10" s="9" t="str">
        <x:v>7</x:v>
      </x:c>
      <x:c r="E10" s="9" t="str">
        <x:v>Compare budget vs actual expenses</x:v>
      </x:c>
      <x:c r="F10" s="9" t="str"/>
    </x:row>
    <x:row r="11" ht="17.08984375" hidden="0" customHeight="1">
      <x:c r="A11" t="str">
        <x:v>Business Model</x:v>
      </x:c>
      <x:c r="B11" t="str">
        <x:v>B2B manufacturing and maintenance contracts</x:v>
      </x:c>
      <x:c r="D11" s="9" t="str">
        <x:v>8</x:v>
      </x:c>
      <x:c r="E11" s="9" t="str">
        <x:v>Summarize likely business recommendations</x:v>
      </x:c>
      <x:c r="F11" s="9" t="str"/>
    </x:row>
    <x:row r="12" ht="17.08984375" hidden="0" customHeight="1">
      <x:c r="A12" t="str">
        <x:v>Primary Markets</x:v>
      </x:c>
      <x:c r="B12" t="str">
        <x:v>Libya, Tunisia, Malta</x:v>
      </x:c>
    </x:row>
    <x:row r="13" ht="17.08984375" hidden="0" customHeight="1">
      <x:c r="A13" t="str">
        <x:v>Currency</x:v>
      </x:c>
      <x:c r="B13" t="str">
        <x:v>USD</x:v>
      </x:c>
    </x:row>
  </x:sheetData>
  <x:mergeCells>
    <x:mergeCell ref="A1:H1"/>
    <x:mergeCell ref="D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.289999961853027" hidden="0" customWidth="1"/>
    <x:col min="2" max="2" width="12.710000038146973" hidden="0" customWidth="1"/>
    <x:col min="3" max="3" width="24.139999389648438" hidden="0" customWidth="1"/>
    <x:col min="4" max="4" width="7.289999961853027" hidden="0" customWidth="1"/>
    <x:col min="5" max="5" width="19.290000915527344" hidden="0" customWidth="1"/>
    <x:col min="6" max="6" width="5.570000171661377" hidden="0" customWidth="1"/>
    <x:col min="7" max="7" width="11.289999961853027" hidden="0" customWidth="1"/>
    <x:col min="8" max="8" width="12" hidden="0" customWidth="1"/>
    <x:col min="9" max="9" width="12" hidden="0" customWidth="1"/>
    <x:col min="10" max="10" width="13.289999961853027" hidden="0" customWidth="1"/>
    <x:col min="11" max="11" width="10.859999656677246" hidden="0" customWidth="1"/>
    <x:col min="12" max="12" width="15.859999656677246" hidden="0" customWidth="1"/>
    <x:col min="13" max="13" width="12.569999694824219" hidden="0" customWidth="1"/>
  </x:cols>
  <x:sheetData>
    <x:row r="1">
      <x:c r="A1" s="8" t="str">
        <x:v>Order_ID</x:v>
      </x:c>
      <x:c r="B1" s="8" t="str">
        <x:v>Order_Date</x:v>
      </x:c>
      <x:c r="C1" s="8" t="str">
        <x:v>Customer</x:v>
      </x:c>
      <x:c r="D1" s="8" t="str">
        <x:v>Region</x:v>
      </x:c>
      <x:c r="E1" s="8" t="str">
        <x:v>Product</x:v>
      </x:c>
      <x:c r="F1" s="8" t="str">
        <x:v>Units</x:v>
      </x:c>
      <x:c r="G1" s="8" t="str">
        <x:v>Unit_Price</x:v>
      </x:c>
      <x:c r="H1" s="8" t="str">
        <x:v>Revenue</x:v>
      </x:c>
      <x:c r="I1" s="8" t="str">
        <x:v>COGS</x:v>
      </x:c>
      <x:c r="J1" s="8" t="str">
        <x:v>Gross_Profit</x:v>
      </x:c>
      <x:c r="K1" s="8" t="str">
        <x:v>Sales_Rep</x:v>
      </x:c>
      <x:c r="L1" s="8" t="str">
        <x:v>Payment_Days</x:v>
      </x:c>
      <x:c r="M1" s="8" t="str">
        <x:v>Paid_Status</x:v>
      </x:c>
    </x:row>
    <x:row r="2">
      <x:c r="A2" t="str">
        <x:v>SO-2025-1001</x:v>
      </x:c>
      <x:c r="B2" s="10" t="n">
        <x:v>45825</x:v>
      </x:c>
      <x:c r="C2" t="str">
        <x:v>Sahara Tech</x:v>
      </x:c>
      <x:c r="D2" t="str">
        <x:v>West</x:v>
      </x:c>
      <x:c r="E2" t="str">
        <x:v>Pump Assembly A</x:v>
      </x:c>
      <x:c r="F2" s="12" t="n">
        <x:v>17</x:v>
      </x:c>
      <x:c r="G2" s="11" t="n">
        <x:v>4860</x:v>
      </x:c>
      <x:c r="H2" s="11" t="n">
        <x:v>82620</x:v>
      </x:c>
      <x:c r="I2" s="11" t="n">
        <x:v>56270</x:v>
      </x:c>
      <x:c r="J2" s="11" t="n">
        <x:v>26350</x:v>
      </x:c>
      <x:c r="K2" t="str">
        <x:v>Fathi</x:v>
      </x:c>
      <x:c r="L2" s="12" t="n">
        <x:v>60</x:v>
      </x:c>
      <x:c r="M2" t="str">
        <x:v>Pending</x:v>
      </x:c>
    </x:row>
    <x:row r="3">
      <x:c r="A3" t="str">
        <x:v>SO-2025-1002</x:v>
      </x:c>
      <x:c r="B3" s="10" t="n">
        <x:v>45919</x:v>
      </x:c>
      <x:c r="C3" t="str">
        <x:v>Misrata Energy</x:v>
      </x:c>
      <x:c r="D3" t="str">
        <x:v>West</x:v>
      </x:c>
      <x:c r="E3" t="str">
        <x:v>Control Panel X</x:v>
      </x:c>
      <x:c r="F3" s="12" t="n">
        <x:v>7</x:v>
      </x:c>
      <x:c r="G3" s="11" t="n">
        <x:v>3040</x:v>
      </x:c>
      <x:c r="H3" s="11" t="n">
        <x:v>21280</x:v>
      </x:c>
      <x:c r="I3" s="11" t="n">
        <x:v>13720</x:v>
      </x:c>
      <x:c r="J3" s="11" t="n">
        <x:v>7560</x:v>
      </x:c>
      <x:c r="K3" t="str">
        <x:v>Yousef</x:v>
      </x:c>
      <x:c r="L3" s="12" t="n">
        <x:v>45</x:v>
      </x:c>
      <x:c r="M3" t="str">
        <x:v>Pending</x:v>
      </x:c>
    </x:row>
    <x:row r="4">
      <x:c r="A4" t="str">
        <x:v>SO-2025-1003</x:v>
      </x:c>
      <x:c r="B4" s="10" t="n">
        <x:v>45949</x:v>
      </x:c>
      <x:c r="C4" t="str">
        <x:v>Blue Delta Foods</x:v>
      </x:c>
      <x:c r="D4" t="str">
        <x:v>Export</x:v>
      </x:c>
      <x:c r="E4" t="str">
        <x:v>Seal Kit</x:v>
      </x:c>
      <x:c r="F4" s="12" t="n">
        <x:v>53</x:v>
      </x:c>
      <x:c r="G4" s="11" t="n">
        <x:v>60</x:v>
      </x:c>
      <x:c r="H4" s="11" t="n">
        <x:v>3180</x:v>
      </x:c>
      <x:c r="I4" s="11" t="n">
        <x:v>8745</x:v>
      </x:c>
      <x:c r="J4" s="11" t="n">
        <x:v>-5565</x:v>
      </x:c>
      <x:c r="K4" t="str">
        <x:v>Yousef</x:v>
      </x:c>
      <x:c r="L4" s="12" t="n">
        <x:v>45</x:v>
      </x:c>
      <x:c r="M4" t="str">
        <x:v>Pending</x:v>
      </x:c>
    </x:row>
    <x:row r="5">
      <x:c r="A5" t="str">
        <x:v>SO-2025-1004</x:v>
      </x:c>
      <x:c r="B5" s="10" t="n">
        <x:v>45773</x:v>
      </x:c>
      <x:c r="C5" t="str">
        <x:v>Atlas Oil Services</x:v>
      </x:c>
      <x:c r="D5" t="str">
        <x:v>East</x:v>
      </x:c>
      <x:c r="E5" t="str">
        <x:v>Pump Assembly A</x:v>
      </x:c>
      <x:c r="F5" s="12" t="n">
        <x:v>10</x:v>
      </x:c>
      <x:c r="G5" s="11" t="n">
        <x:v>4740</x:v>
      </x:c>
      <x:c r="H5" s="11" t="n">
        <x:v>47400</x:v>
      </x:c>
      <x:c r="I5" s="11" t="n">
        <x:v>34700</x:v>
      </x:c>
      <x:c r="J5" s="11" t="n">
        <x:v>12700</x:v>
      </x:c>
      <x:c r="K5" t="str">
        <x:v>Omar</x:v>
      </x:c>
      <x:c r="L5" s="12" t="n">
        <x:v>60</x:v>
      </x:c>
      <x:c r="M5" t="str">
        <x:v>Paid</x:v>
      </x:c>
    </x:row>
    <x:row r="6">
      <x:c r="A6" t="str">
        <x:v>SO-2026-1005</x:v>
      </x:c>
      <x:c r="B6" s="10" t="n">
        <x:v>46077</x:v>
      </x:c>
      <x:c r="C6" t="str">
        <x:v>Sahara Tech</x:v>
      </x:c>
      <x:c r="D6" t="str">
        <x:v>West</x:v>
      </x:c>
      <x:c r="E6" t="str">
        <x:v>Control Panel Z</x:v>
      </x:c>
      <x:c r="F6" s="12" t="n">
        <x:v>6</x:v>
      </x:c>
      <x:c r="G6" s="11" t="n">
        <x:v>4200</x:v>
      </x:c>
      <x:c r="H6" s="11" t="n">
        <x:v>25200</x:v>
      </x:c>
      <x:c r="I6" s="11" t="n">
        <x:v>16710</x:v>
      </x:c>
      <x:c r="J6" s="11" t="n">
        <x:v>8490</x:v>
      </x:c>
      <x:c r="K6" t="str">
        <x:v>Yousef</x:v>
      </x:c>
      <x:c r="L6" s="12" t="n">
        <x:v>75</x:v>
      </x:c>
      <x:c r="M6" t="str">
        <x:v>Pending</x:v>
      </x:c>
    </x:row>
    <x:row r="7">
      <x:c r="A7" t="str">
        <x:v>SO-2025-1006</x:v>
      </x:c>
      <x:c r="B7" s="10" t="n">
        <x:v>45690</x:v>
      </x:c>
      <x:c r="C7" t="str">
        <x:v>Desert Build Co.</x:v>
      </x:c>
      <x:c r="D7" t="str">
        <x:v>West</x:v>
      </x:c>
      <x:c r="E7" t="str">
        <x:v>Seal Kit</x:v>
      </x:c>
      <x:c r="F7" s="12" t="n">
        <x:v>43</x:v>
      </x:c>
      <x:c r="G7" s="11" t="n">
        <x:v>180</x:v>
      </x:c>
      <x:c r="H7" s="11" t="n">
        <x:v>7740</x:v>
      </x:c>
      <x:c r="I7" s="11" t="n">
        <x:v>5590</x:v>
      </x:c>
      <x:c r="J7" s="11" t="n">
        <x:v>2150</x:v>
      </x:c>
      <x:c r="K7" t="str">
        <x:v>Yousef</x:v>
      </x:c>
      <x:c r="L7" s="12" t="n">
        <x:v>45</x:v>
      </x:c>
      <x:c r="M7" t="str">
        <x:v>Paid</x:v>
      </x:c>
    </x:row>
    <x:row r="8">
      <x:c r="A8" t="str">
        <x:v>SO-2025-1007</x:v>
      </x:c>
      <x:c r="B8" s="10" t="n">
        <x:v>45787</x:v>
      </x:c>
      <x:c r="C8" t="str">
        <x:v>Sahara Tech</x:v>
      </x:c>
      <x:c r="D8" t="str">
        <x:v>East</x:v>
      </x:c>
      <x:c r="E8" t="str">
        <x:v>Pump Assembly B</x:v>
      </x:c>
      <x:c r="F8" s="12" t="n">
        <x:v>12</x:v>
      </x:c>
      <x:c r="G8" s="11" t="n">
        <x:v>6200</x:v>
      </x:c>
      <x:c r="H8" s="11" t="n">
        <x:v>74400</x:v>
      </x:c>
      <x:c r="I8" s="11" t="n">
        <x:v>55440</x:v>
      </x:c>
      <x:c r="J8" s="11" t="n">
        <x:v>18960</x:v>
      </x:c>
      <x:c r="K8" t="str">
        <x:v>Rania</x:v>
      </x:c>
      <x:c r="L8" s="12" t="n">
        <x:v>30</x:v>
      </x:c>
      <x:c r="M8" t="str">
        <x:v>Paid</x:v>
      </x:c>
    </x:row>
    <x:row r="9">
      <x:c r="A9" t="str">
        <x:v>SO-2025-1008</x:v>
      </x:c>
      <x:c r="B9" s="10" t="n">
        <x:v>45807</x:v>
      </x:c>
      <x:c r="C9" t="str">
        <x:v>Desert Build Co.</x:v>
      </x:c>
      <x:c r="D9" t="str">
        <x:v>Export</x:v>
      </x:c>
      <x:c r="E9" t="str">
        <x:v>Pump Assembly A</x:v>
      </x:c>
      <x:c r="F9" s="12" t="n">
        <x:v>10</x:v>
      </x:c>
      <x:c r="G9" s="11" t="n">
        <x:v>4740</x:v>
      </x:c>
      <x:c r="H9" s="11" t="n">
        <x:v>47400</x:v>
      </x:c>
      <x:c r="I9" s="11" t="n">
        <x:v>34000</x:v>
      </x:c>
      <x:c r="J9" s="11" t="n">
        <x:v>13400</x:v>
      </x:c>
      <x:c r="K9" t="str">
        <x:v>Salma</x:v>
      </x:c>
      <x:c r="L9" s="12" t="n">
        <x:v>45</x:v>
      </x:c>
      <x:c r="M9" t="str">
        <x:v>Paid</x:v>
      </x:c>
    </x:row>
    <x:row r="10">
      <x:c r="A10" t="str">
        <x:v>SO-2025-1009</x:v>
      </x:c>
      <x:c r="B10" s="10" t="n">
        <x:v>46002</x:v>
      </x:c>
      <x:c r="C10" t="str">
        <x:v>Blue Delta Foods</x:v>
      </x:c>
      <x:c r="D10" t="str">
        <x:v>South</x:v>
      </x:c>
      <x:c r="E10" t="str">
        <x:v>Control Panel Z</x:v>
      </x:c>
      <x:c r="F10" s="12" t="n">
        <x:v>8</x:v>
      </x:c>
      <x:c r="G10" s="11" t="n">
        <x:v>4200</x:v>
      </x:c>
      <x:c r="H10" s="11" t="n">
        <x:v>33600</x:v>
      </x:c>
      <x:c r="I10" s="11" t="n">
        <x:v>23000</x:v>
      </x:c>
      <x:c r="J10" s="11" t="n">
        <x:v>10600</x:v>
      </x:c>
      <x:c r="K10" t="str">
        <x:v>Yousef</x:v>
      </x:c>
      <x:c r="L10" s="12" t="n">
        <x:v>45</x:v>
      </x:c>
      <x:c r="M10" t="str">
        <x:v>Paid</x:v>
      </x:c>
    </x:row>
    <x:row r="11">
      <x:c r="A11" t="str">
        <x:v>SO-2025-1010</x:v>
      </x:c>
      <x:c r="B11" s="10" t="n">
        <x:v>45893</x:v>
      </x:c>
      <x:c r="C11" t="str">
        <x:v>Blue Delta Foods</x:v>
      </x:c>
      <x:c r="D11" t="str">
        <x:v>South</x:v>
      </x:c>
      <x:c r="E11" t="str">
        <x:v>Sensor Pack</x:v>
      </x:c>
      <x:c r="F11" s="12" t="n">
        <x:v>22</x:v>
      </x:c>
      <x:c r="G11" s="11" t="n">
        <x:v>620</x:v>
      </x:c>
      <x:c r="H11" s="11" t="n">
        <x:v>13640</x:v>
      </x:c>
      <x:c r="I11" s="11" t="n">
        <x:v>4620</x:v>
      </x:c>
      <x:c r="J11" s="11" t="n">
        <x:v>9020</x:v>
      </x:c>
      <x:c r="K11" t="str">
        <x:v>Omar</x:v>
      </x:c>
      <x:c r="L11" s="12" t="n">
        <x:v>75</x:v>
      </x:c>
      <x:c r="M11" t="str">
        <x:v>Paid</x:v>
      </x:c>
    </x:row>
    <x:row r="12">
      <x:c r="A12" t="str">
        <x:v>SO-2025-1011</x:v>
      </x:c>
      <x:c r="B12" s="10" t="n">
        <x:v>45991</x:v>
      </x:c>
      <x:c r="C12" t="str">
        <x:v>Desert Build Co.</x:v>
      </x:c>
      <x:c r="D12" t="str">
        <x:v>Export</x:v>
      </x:c>
      <x:c r="E12" t="str">
        <x:v>Motor Coupling</x:v>
      </x:c>
      <x:c r="F12" s="12" t="n">
        <x:v>19</x:v>
      </x:c>
      <x:c r="G12" s="11" t="n">
        <x:v>430</x:v>
      </x:c>
      <x:c r="H12" s="11" t="n">
        <x:v>8170</x:v>
      </x:c>
      <x:c r="I12" s="11" t="n">
        <x:v>4275</x:v>
      </x:c>
      <x:c r="J12" s="11" t="n">
        <x:v>3895</x:v>
      </x:c>
      <x:c r="K12" t="str">
        <x:v>Fathi</x:v>
      </x:c>
      <x:c r="L12" s="12" t="n">
        <x:v>15</x:v>
      </x:c>
      <x:c r="M12" t="str">
        <x:v>Paid</x:v>
      </x:c>
    </x:row>
    <x:row r="13">
      <x:c r="A13" t="str">
        <x:v>SO-2025-1012</x:v>
      </x:c>
      <x:c r="B13" s="10" t="n">
        <x:v>45841</x:v>
      </x:c>
      <x:c r="C13" t="str">
        <x:v>Sahara Tech</x:v>
      </x:c>
      <x:c r="D13" t="str">
        <x:v>East</x:v>
      </x:c>
      <x:c r="E13" t="str">
        <x:v>Control Panel X</x:v>
      </x:c>
      <x:c r="F13" s="12" t="n">
        <x:v>11</x:v>
      </x:c>
      <x:c r="G13" s="11" t="n">
        <x:v>3100</x:v>
      </x:c>
      <x:c r="H13" s="11" t="n">
        <x:v>34100</x:v>
      </x:c>
      <x:c r="I13" s="11" t="n">
        <x:v>22110</x:v>
      </x:c>
      <x:c r="J13" s="11" t="n">
        <x:v>11990</x:v>
      </x:c>
      <x:c r="K13" t="str">
        <x:v>Salma</x:v>
      </x:c>
      <x:c r="L13" s="12" t="n">
        <x:v>45</x:v>
      </x:c>
      <x:c r="M13" t="str">
        <x:v>Paid</x:v>
      </x:c>
    </x:row>
    <x:row r="14">
      <x:c r="A14" t="str">
        <x:v>SO-2026-1013</x:v>
      </x:c>
      <x:c r="B14" s="10" t="n">
        <x:v>46106</x:v>
      </x:c>
      <x:c r="C14" t="str">
        <x:v>Mediterranean Pumps</x:v>
      </x:c>
      <x:c r="D14" t="str">
        <x:v>West</x:v>
      </x:c>
      <x:c r="E14" t="str">
        <x:v>Control Panel X</x:v>
      </x:c>
      <x:c r="F14" s="12" t="n">
        <x:v>22</x:v>
      </x:c>
      <x:c r="G14" s="11" t="n">
        <x:v>3100</x:v>
      </x:c>
      <x:c r="H14" s="11" t="n">
        <x:v>68200</x:v>
      </x:c>
      <x:c r="I14" s="11" t="n">
        <x:v>44220</x:v>
      </x:c>
      <x:c r="J14" s="11" t="n">
        <x:v>23980</x:v>
      </x:c>
      <x:c r="K14" t="str">
        <x:v>Rania</x:v>
      </x:c>
      <x:c r="L14" s="12" t="n">
        <x:v>60</x:v>
      </x:c>
      <x:c r="M14" t="str">
        <x:v>Paid</x:v>
      </x:c>
    </x:row>
    <x:row r="15">
      <x:c r="A15" t="str">
        <x:v>SO-2025-1014</x:v>
      </x:c>
      <x:c r="B15" s="10" t="n">
        <x:v>45872</x:v>
      </x:c>
      <x:c r="C15" t="str">
        <x:v>Green Valley Group</x:v>
      </x:c>
      <x:c r="D15" t="str">
        <x:v>East</x:v>
      </x:c>
      <x:c r="E15" t="str">
        <x:v>Control Panel X</x:v>
      </x:c>
      <x:c r="F15" s="12" t="n">
        <x:v>12</x:v>
      </x:c>
      <x:c r="G15" s="11" t="n">
        <x:v>3040</x:v>
      </x:c>
      <x:c r="H15" s="11" t="n">
        <x:v>36480</x:v>
      </x:c>
      <x:c r="I15" s="11" t="n">
        <x:v>23520</x:v>
      </x:c>
      <x:c r="J15" s="11" t="n">
        <x:v>12960</x:v>
      </x:c>
      <x:c r="K15" t="str">
        <x:v>Salma</x:v>
      </x:c>
      <x:c r="L15" s="12" t="n">
        <x:v>30</x:v>
      </x:c>
      <x:c r="M15" t="str">
        <x:v>Paid</x:v>
      </x:c>
    </x:row>
    <x:row r="16">
      <x:c r="A16" t="str">
        <x:v>SO-2025-1015</x:v>
      </x:c>
      <x:c r="B16" s="10" t="n">
        <x:v>45779</x:v>
      </x:c>
      <x:c r="C16" t="str">
        <x:v>Atlas Oil Services</x:v>
      </x:c>
      <x:c r="D16" t="str">
        <x:v>East</x:v>
      </x:c>
      <x:c r="E16" t="str">
        <x:v>Control Panel Z</x:v>
      </x:c>
      <x:c r="F16" s="12" t="n">
        <x:v>7</x:v>
      </x:c>
      <x:c r="G16" s="11" t="n">
        <x:v>4200</x:v>
      </x:c>
      <x:c r="H16" s="11" t="n">
        <x:v>29400</x:v>
      </x:c>
      <x:c r="I16" s="11" t="n">
        <x:v>19495</x:v>
      </x:c>
      <x:c r="J16" s="11" t="n">
        <x:v>9905</x:v>
      </x:c>
      <x:c r="K16" t="str">
        <x:v>Salma</x:v>
      </x:c>
      <x:c r="L16" s="12" t="n">
        <x:v>45</x:v>
      </x:c>
      <x:c r="M16" t="str">
        <x:v>Paid</x:v>
      </x:c>
    </x:row>
    <x:row r="17">
      <x:c r="A17" t="str">
        <x:v>SO-2025-1016</x:v>
      </x:c>
      <x:c r="B17" s="10" t="n">
        <x:v>45972</x:v>
      </x:c>
      <x:c r="C17" t="str">
        <x:v>Desert Build Co.</x:v>
      </x:c>
      <x:c r="D17" t="str">
        <x:v>West</x:v>
      </x:c>
      <x:c r="E17" t="str">
        <x:v>Pump Assembly A</x:v>
      </x:c>
      <x:c r="F17" s="12" t="n">
        <x:v>17</x:v>
      </x:c>
      <x:c r="G17" s="11" t="n">
        <x:v>4860</x:v>
      </x:c>
      <x:c r="H17" s="11" t="n">
        <x:v>82620</x:v>
      </x:c>
      <x:c r="I17" s="11" t="n">
        <x:v>58990</x:v>
      </x:c>
      <x:c r="J17" s="11" t="n">
        <x:v>23630</x:v>
      </x:c>
      <x:c r="K17" t="str">
        <x:v>Omar</x:v>
      </x:c>
      <x:c r="L17" s="12" t="n">
        <x:v>45</x:v>
      </x:c>
      <x:c r="M17" t="str">
        <x:v>Paid</x:v>
      </x:c>
    </x:row>
    <x:row r="18">
      <x:c r="A18" t="str">
        <x:v>SO-2026-1017</x:v>
      </x:c>
      <x:c r="B18" s="10" t="n">
        <x:v>46059</x:v>
      </x:c>
      <x:c r="C18" t="str">
        <x:v>Tripoli Utilities</x:v>
      </x:c>
      <x:c r="D18" t="str">
        <x:v>West</x:v>
      </x:c>
      <x:c r="E18" t="str">
        <x:v>Control Panel X</x:v>
      </x:c>
      <x:c r="F18" s="12" t="n">
        <x:v>8</x:v>
      </x:c>
      <x:c r="G18" s="11" t="n">
        <x:v>3130</x:v>
      </x:c>
      <x:c r="H18" s="11" t="n">
        <x:v>25040</x:v>
      </x:c>
      <x:c r="I18" s="11" t="n">
        <x:v>16680</x:v>
      </x:c>
      <x:c r="J18" s="11" t="n">
        <x:v>8360</x:v>
      </x:c>
      <x:c r="K18" t="str">
        <x:v>Omar</x:v>
      </x:c>
      <x:c r="L18" s="12" t="n">
        <x:v>30</x:v>
      </x:c>
      <x:c r="M18" t="str">
        <x:v>Pending</x:v>
      </x:c>
    </x:row>
    <x:row r="19">
      <x:c r="A19" t="str">
        <x:v>SO-2025-1018</x:v>
      </x:c>
      <x:c r="B19" s="10" t="n">
        <x:v>45766</x:v>
      </x:c>
      <x:c r="C19" t="str">
        <x:v>Mediterranean Pumps</x:v>
      </x:c>
      <x:c r="D19" t="str">
        <x:v>West</x:v>
      </x:c>
      <x:c r="E19" t="str">
        <x:v>Control Panel X</x:v>
      </x:c>
      <x:c r="F19" s="12" t="n">
        <x:v>6</x:v>
      </x:c>
      <x:c r="G19" s="11" t="n">
        <x:v>2980</x:v>
      </x:c>
      <x:c r="H19" s="11" t="n">
        <x:v>17880</x:v>
      </x:c>
      <x:c r="I19" s="11" t="n">
        <x:v>11760</x:v>
      </x:c>
      <x:c r="J19" s="11" t="n">
        <x:v>6120</x:v>
      </x:c>
      <x:c r="K19" t="str">
        <x:v>Yousef</x:v>
      </x:c>
      <x:c r="L19" s="12" t="n">
        <x:v>30</x:v>
      </x:c>
      <x:c r="M19" t="str">
        <x:v>Paid</x:v>
      </x:c>
    </x:row>
    <x:row r="20">
      <x:c r="A20" t="str">
        <x:v>SO-2025-1019</x:v>
      </x:c>
      <x:c r="B20" s="10" t="n">
        <x:v>45846</x:v>
      </x:c>
      <x:c r="C20" t="str">
        <x:v>Desert Build Co.</x:v>
      </x:c>
      <x:c r="D20" t="str">
        <x:v>West</x:v>
      </x:c>
      <x:c r="E20" t="str">
        <x:v>Motor Coupling</x:v>
      </x:c>
      <x:c r="F20" s="12" t="n">
        <x:v>29</x:v>
      </x:c>
      <x:c r="G20" s="11" t="n">
        <x:v>350</x:v>
      </x:c>
      <x:c r="H20" s="11" t="n">
        <x:v>10150</x:v>
      </x:c>
      <x:c r="I20" s="11" t="n">
        <x:v>4350</x:v>
      </x:c>
      <x:c r="J20" s="11" t="n">
        <x:v>5800</x:v>
      </x:c>
      <x:c r="K20" t="str">
        <x:v>Fathi</x:v>
      </x:c>
      <x:c r="L20" s="12" t="n">
        <x:v>30</x:v>
      </x:c>
      <x:c r="M20" t="str">
        <x:v>Paid</x:v>
      </x:c>
    </x:row>
    <x:row r="21">
      <x:c r="A21" t="str">
        <x:v>SO-2025-1020</x:v>
      </x:c>
      <x:c r="B21" s="10" t="n">
        <x:v>45902</x:v>
      </x:c>
      <x:c r="C21" t="str">
        <x:v>Blue Delta Foods</x:v>
      </x:c>
      <x:c r="D21" t="str">
        <x:v>West</x:v>
      </x:c>
      <x:c r="E21" t="str">
        <x:v>Control Panel X</x:v>
      </x:c>
      <x:c r="F21" s="12" t="n">
        <x:v>19</x:v>
      </x:c>
      <x:c r="G21" s="11" t="n">
        <x:v>3130</x:v>
      </x:c>
      <x:c r="H21" s="11" t="n">
        <x:v>59470</x:v>
      </x:c>
      <x:c r="I21" s="11" t="n">
        <x:v>39615</x:v>
      </x:c>
      <x:c r="J21" s="11" t="n">
        <x:v>19855</x:v>
      </x:c>
      <x:c r="K21" t="str">
        <x:v>Fathi</x:v>
      </x:c>
      <x:c r="L21" s="12" t="n">
        <x:v>15</x:v>
      </x:c>
      <x:c r="M21" t="str">
        <x:v>Pending</x:v>
      </x:c>
    </x:row>
    <x:row r="22">
      <x:c r="A22" t="str">
        <x:v>SO-2026-1021</x:v>
      </x:c>
      <x:c r="B22" s="10" t="n">
        <x:v>46043</x:v>
      </x:c>
      <x:c r="C22" t="str">
        <x:v>Green Valley Group</x:v>
      </x:c>
      <x:c r="D22" t="str">
        <x:v>South</x:v>
      </x:c>
      <x:c r="E22" t="str">
        <x:v>Control Panel X</x:v>
      </x:c>
      <x:c r="F22" s="12" t="n">
        <x:v>10</x:v>
      </x:c>
      <x:c r="G22" s="11" t="n">
        <x:v>3160</x:v>
      </x:c>
      <x:c r="H22" s="11" t="n">
        <x:v>31600</x:v>
      </x:c>
      <x:c r="I22" s="11" t="n">
        <x:v>19600</x:v>
      </x:c>
      <x:c r="J22" s="11" t="n">
        <x:v>12000</x:v>
      </x:c>
      <x:c r="K22" t="str">
        <x:v>Salma</x:v>
      </x:c>
      <x:c r="L22" s="12" t="n">
        <x:v>60</x:v>
      </x:c>
      <x:c r="M22" t="str">
        <x:v>Paid</x:v>
      </x:c>
    </x:row>
    <x:row r="23">
      <x:c r="A23" t="str">
        <x:v>SO-2025-1022</x:v>
      </x:c>
      <x:c r="B23" s="10" t="n">
        <x:v>46013</x:v>
      </x:c>
      <x:c r="C23" t="str">
        <x:v>Tripoli Utilities</x:v>
      </x:c>
      <x:c r="D23" t="str">
        <x:v>Export</x:v>
      </x:c>
      <x:c r="E23" t="str">
        <x:v>Seal Kit</x:v>
      </x:c>
      <x:c r="F23" s="12" t="n">
        <x:v>35</x:v>
      </x:c>
      <x:c r="G23" s="11" t="n">
        <x:v>290</x:v>
      </x:c>
      <x:c r="H23" s="11" t="n">
        <x:v>10150</x:v>
      </x:c>
      <x:c r="I23" s="11" t="n">
        <x:v>175</x:v>
      </x:c>
      <x:c r="J23" s="11" t="n">
        <x:v>9975</x:v>
      </x:c>
      <x:c r="K23" t="str">
        <x:v>Fathi</x:v>
      </x:c>
      <x:c r="L23" s="12" t="n">
        <x:v>60</x:v>
      </x:c>
      <x:c r="M23" t="str">
        <x:v>Paid</x:v>
      </x:c>
    </x:row>
    <x:row r="24">
      <x:c r="A24" t="str">
        <x:v>SO-2025-1023</x:v>
      </x:c>
      <x:c r="B24" s="10" t="n">
        <x:v>45745</x:v>
      </x:c>
      <x:c r="C24" t="str">
        <x:v>Green Valley Group</x:v>
      </x:c>
      <x:c r="D24" t="str">
        <x:v>South</x:v>
      </x:c>
      <x:c r="E24" t="str">
        <x:v>Control Panel Z</x:v>
      </x:c>
      <x:c r="F24" s="12" t="n">
        <x:v>8</x:v>
      </x:c>
      <x:c r="G24" s="11" t="n">
        <x:v>4310</x:v>
      </x:c>
      <x:c r="H24" s="11" t="n">
        <x:v>34480</x:v>
      </x:c>
      <x:c r="I24" s="11" t="n">
        <x:v>22680</x:v>
      </x:c>
      <x:c r="J24" s="11" t="n">
        <x:v>11800</x:v>
      </x:c>
      <x:c r="K24" t="str">
        <x:v>Yousef</x:v>
      </x:c>
      <x:c r="L24" s="12" t="n">
        <x:v>30</x:v>
      </x:c>
      <x:c r="M24" t="str">
        <x:v>Paid</x:v>
      </x:c>
    </x:row>
    <x:row r="25">
      <x:c r="A25" t="str">
        <x:v>SO-2026-1024</x:v>
      </x:c>
      <x:c r="B25" s="10" t="n">
        <x:v>46078</x:v>
      </x:c>
      <x:c r="C25" t="str">
        <x:v>Al Noor Industrial</x:v>
      </x:c>
      <x:c r="D25" t="str">
        <x:v>South</x:v>
      </x:c>
      <x:c r="E25" t="str">
        <x:v>Pump Assembly B</x:v>
      </x:c>
      <x:c r="F25" s="12" t="n">
        <x:v>11</x:v>
      </x:c>
      <x:c r="G25" s="11" t="n">
        <x:v>6230</x:v>
      </x:c>
      <x:c r="H25" s="11" t="n">
        <x:v>68530</x:v>
      </x:c>
      <x:c r="I25" s="11" t="n">
        <x:v>50050</x:v>
      </x:c>
      <x:c r="J25" s="11" t="n">
        <x:v>18480</x:v>
      </x:c>
      <x:c r="K25" t="str">
        <x:v>Omar</x:v>
      </x:c>
      <x:c r="L25" s="12" t="n">
        <x:v>15</x:v>
      </x:c>
      <x:c r="M25" t="str">
        <x:v>Paid</x:v>
      </x:c>
    </x:row>
    <x:row r="26">
      <x:c r="A26" t="str">
        <x:v>SO-2025-1025</x:v>
      </x:c>
      <x:c r="B26" s="10" t="n">
        <x:v>45901</x:v>
      </x:c>
      <x:c r="C26" t="str">
        <x:v>North Coast Trading</x:v>
      </x:c>
      <x:c r="D26" t="str">
        <x:v>West</x:v>
      </x:c>
      <x:c r="E26" t="str">
        <x:v>Control Panel Z</x:v>
      </x:c>
      <x:c r="F26" s="12" t="n">
        <x:v>8</x:v>
      </x:c>
      <x:c r="G26" s="11" t="n">
        <x:v>4230</x:v>
      </x:c>
      <x:c r="H26" s="11" t="n">
        <x:v>33840</x:v>
      </x:c>
      <x:c r="I26" s="11" t="n">
        <x:v>23000</x:v>
      </x:c>
      <x:c r="J26" s="11" t="n">
        <x:v>10840</x:v>
      </x:c>
      <x:c r="K26" t="str">
        <x:v>Fathi</x:v>
      </x:c>
      <x:c r="L26" s="12" t="n">
        <x:v>15</x:v>
      </x:c>
      <x:c r="M26" t="str">
        <x:v>Paid</x:v>
      </x:c>
    </x:row>
    <x:row r="27">
      <x:c r="A27" t="str">
        <x:v>SO-2025-1026</x:v>
      </x:c>
      <x:c r="B27" s="10" t="n">
        <x:v>45776</x:v>
      </x:c>
      <x:c r="C27" t="str">
        <x:v>Mediterranean Pumps</x:v>
      </x:c>
      <x:c r="D27" t="str">
        <x:v>West</x:v>
      </x:c>
      <x:c r="E27" t="str">
        <x:v>Pump Assembly B</x:v>
      </x:c>
      <x:c r="F27" s="12" t="n">
        <x:v>12</x:v>
      </x:c>
      <x:c r="G27" s="11" t="n">
        <x:v>6260</x:v>
      </x:c>
      <x:c r="H27" s="11" t="n">
        <x:v>75120</x:v>
      </x:c>
      <x:c r="I27" s="11" t="n">
        <x:v>53520</x:v>
      </x:c>
      <x:c r="J27" s="11" t="n">
        <x:v>21600</x:v>
      </x:c>
      <x:c r="K27" t="str">
        <x:v>Rania</x:v>
      </x:c>
      <x:c r="L27" s="12" t="n">
        <x:v>75</x:v>
      </x:c>
      <x:c r="M27" t="str">
        <x:v>Paid</x:v>
      </x:c>
    </x:row>
    <x:row r="28">
      <x:c r="A28" t="str">
        <x:v>SO-2025-1027</x:v>
      </x:c>
      <x:c r="B28" s="10" t="n">
        <x:v>45989</x:v>
      </x:c>
      <x:c r="C28" t="str">
        <x:v>Blue Delta Foods</x:v>
      </x:c>
      <x:c r="D28" t="str">
        <x:v>South</x:v>
      </x:c>
      <x:c r="E28" t="str">
        <x:v>Pump Assembly A</x:v>
      </x:c>
      <x:c r="F28" s="12" t="n">
        <x:v>10</x:v>
      </x:c>
      <x:c r="G28" s="11" t="n">
        <x:v>4910</x:v>
      </x:c>
      <x:c r="H28" s="11" t="n">
        <x:v>49100</x:v>
      </x:c>
      <x:c r="I28" s="11" t="n">
        <x:v>33600</x:v>
      </x:c>
      <x:c r="J28" s="11" t="n">
        <x:v>15500</x:v>
      </x:c>
      <x:c r="K28" t="str">
        <x:v>Rania</x:v>
      </x:c>
      <x:c r="L28" s="12" t="n">
        <x:v>30</x:v>
      </x:c>
      <x:c r="M28" t="str">
        <x:v>Paid</x:v>
      </x:c>
    </x:row>
    <x:row r="29">
      <x:c r="A29" t="str">
        <x:v>SO-2025-1028</x:v>
      </x:c>
      <x:c r="B29" s="10" t="n">
        <x:v>45985</x:v>
      </x:c>
      <x:c r="C29" t="str">
        <x:v>Green Valley Group</x:v>
      </x:c>
      <x:c r="D29" t="str">
        <x:v>West</x:v>
      </x:c>
      <x:c r="E29" t="str">
        <x:v>Sensor Pack</x:v>
      </x:c>
      <x:c r="F29" s="12" t="n">
        <x:v>30</x:v>
      </x:c>
      <x:c r="G29" s="11" t="n">
        <x:v>540</x:v>
      </x:c>
      <x:c r="H29" s="11" t="n">
        <x:v>16200</x:v>
      </x:c>
      <x:c r="I29" s="11" t="n">
        <x:v>10050</x:v>
      </x:c>
      <x:c r="J29" s="11" t="n">
        <x:v>6150</x:v>
      </x:c>
      <x:c r="K29" t="str">
        <x:v>Rania</x:v>
      </x:c>
      <x:c r="L29" s="12" t="n">
        <x:v>75</x:v>
      </x:c>
      <x:c r="M29" t="str">
        <x:v>Paid</x:v>
      </x:c>
    </x:row>
    <x:row r="30">
      <x:c r="A30" t="str">
        <x:v>SO-2026-1029</x:v>
      </x:c>
      <x:c r="B30" s="10" t="n">
        <x:v>46031</x:v>
      </x:c>
      <x:c r="C30" t="str">
        <x:v>Sahara Tech</x:v>
      </x:c>
      <x:c r="D30" t="str">
        <x:v>West</x:v>
      </x:c>
      <x:c r="E30" t="str">
        <x:v>Pump Assembly A</x:v>
      </x:c>
      <x:c r="F30" s="12" t="n">
        <x:v>6</x:v>
      </x:c>
      <x:c r="G30" s="11" t="n">
        <x:v>4860</x:v>
      </x:c>
      <x:c r="H30" s="11" t="n">
        <x:v>29160</x:v>
      </x:c>
      <x:c r="I30" s="11" t="n">
        <x:v>20610</x:v>
      </x:c>
      <x:c r="J30" s="11" t="n">
        <x:v>8550</x:v>
      </x:c>
      <x:c r="K30" t="str">
        <x:v>Salma</x:v>
      </x:c>
      <x:c r="L30" s="12" t="n">
        <x:v>60</x:v>
      </x:c>
      <x:c r="M30" t="str">
        <x:v>Paid</x:v>
      </x:c>
    </x:row>
    <x:row r="31">
      <x:c r="A31" t="str">
        <x:v>SO-2025-1030</x:v>
      </x:c>
      <x:c r="B31" s="10" t="n">
        <x:v>45902</x:v>
      </x:c>
      <x:c r="C31" t="str">
        <x:v>Green Valley Group</x:v>
      </x:c>
      <x:c r="D31" t="str">
        <x:v>West</x:v>
      </x:c>
      <x:c r="E31" t="str">
        <x:v>Control Panel Z</x:v>
      </x:c>
      <x:c r="F31" s="12" t="n">
        <x:v>3</x:v>
      </x:c>
      <x:c r="G31" s="11" t="n">
        <x:v>4080</x:v>
      </x:c>
      <x:c r="H31" s="11" t="n">
        <x:v>12240</x:v>
      </x:c>
      <x:c r="I31" s="11" t="n">
        <x:v>8355</x:v>
      </x:c>
      <x:c r="J31" s="11" t="n">
        <x:v>3885</x:v>
      </x:c>
      <x:c r="K31" t="str">
        <x:v>Yousef</x:v>
      </x:c>
      <x:c r="L31" s="12" t="n">
        <x:v>75</x:v>
      </x:c>
      <x:c r="M31" t="str">
        <x:v>Paid</x:v>
      </x:c>
    </x:row>
    <x:row r="32">
      <x:c r="A32" t="str">
        <x:v>SO-2025-1031</x:v>
      </x:c>
      <x:c r="B32" s="10" t="n">
        <x:v>45882</x:v>
      </x:c>
      <x:c r="C32" t="str">
        <x:v>Misrata Energy</x:v>
      </x:c>
      <x:c r="D32" t="str">
        <x:v>South</x:v>
      </x:c>
      <x:c r="E32" t="str">
        <x:v>Pump Assembly B</x:v>
      </x:c>
      <x:c r="F32" s="12" t="n">
        <x:v>7</x:v>
      </x:c>
      <x:c r="G32" s="11" t="n">
        <x:v>6140</x:v>
      </x:c>
      <x:c r="H32" s="11" t="n">
        <x:v>42980</x:v>
      </x:c>
      <x:c r="I32" s="11" t="n">
        <x:v>31850</x:v>
      </x:c>
      <x:c r="J32" s="11" t="n">
        <x:v>11130</x:v>
      </x:c>
      <x:c r="K32" t="str">
        <x:v>Yousef</x:v>
      </x:c>
      <x:c r="L32" s="12" t="n">
        <x:v>30</x:v>
      </x:c>
      <x:c r="M32" t="str">
        <x:v>Paid</x:v>
      </x:c>
    </x:row>
    <x:row r="33">
      <x:c r="A33" t="str">
        <x:v>SO-2025-1032</x:v>
      </x:c>
      <x:c r="B33" s="10" t="n">
        <x:v>45826</x:v>
      </x:c>
      <x:c r="C33" t="str">
        <x:v>North Coast Trading</x:v>
      </x:c>
      <x:c r="D33" t="str">
        <x:v>East</x:v>
      </x:c>
      <x:c r="E33" t="str">
        <x:v>Motor Coupling</x:v>
      </x:c>
      <x:c r="F33" s="12" t="n">
        <x:v>11</x:v>
      </x:c>
      <x:c r="G33" s="11" t="n">
        <x:v>430</x:v>
      </x:c>
      <x:c r="H33" s="11" t="n">
        <x:v>4730</x:v>
      </x:c>
      <x:c r="I33" s="11" t="n">
        <x:v>2090</x:v>
      </x:c>
      <x:c r="J33" s="11" t="n">
        <x:v>2640</x:v>
      </x:c>
      <x:c r="K33" t="str">
        <x:v>Rania</x:v>
      </x:c>
      <x:c r="L33" s="12" t="n">
        <x:v>75</x:v>
      </x:c>
      <x:c r="M33" t="str">
        <x:v>Paid</x:v>
      </x:c>
    </x:row>
    <x:row r="34">
      <x:c r="A34" t="str">
        <x:v>SO-2025-1033</x:v>
      </x:c>
      <x:c r="B34" s="10" t="n">
        <x:v>45924</x:v>
      </x:c>
      <x:c r="C34" t="str">
        <x:v>Al Noor Industrial</x:v>
      </x:c>
      <x:c r="D34" t="str">
        <x:v>South</x:v>
      </x:c>
      <x:c r="E34" t="str">
        <x:v>Motor Coupling</x:v>
      </x:c>
      <x:c r="F34" s="12" t="n">
        <x:v>14</x:v>
      </x:c>
      <x:c r="G34" s="11" t="n">
        <x:v>380</x:v>
      </x:c>
      <x:c r="H34" s="11" t="n">
        <x:v>5320</x:v>
      </x:c>
      <x:c r="I34" s="11" t="n">
        <x:v>2100</x:v>
      </x:c>
      <x:c r="J34" s="11" t="n">
        <x:v>3220</x:v>
      </x:c>
      <x:c r="K34" t="str">
        <x:v>Yousef</x:v>
      </x:c>
      <x:c r="L34" s="12" t="n">
        <x:v>60</x:v>
      </x:c>
      <x:c r="M34" t="str">
        <x:v>Pending</x:v>
      </x:c>
    </x:row>
    <x:row r="35">
      <x:c r="A35" t="str">
        <x:v>SO-2025-1034</x:v>
      </x:c>
      <x:c r="B35" s="10" t="n">
        <x:v>45885</x:v>
      </x:c>
      <x:c r="C35" t="str">
        <x:v>Sahara Tech</x:v>
      </x:c>
      <x:c r="D35" t="str">
        <x:v>East</x:v>
      </x:c>
      <x:c r="E35" t="str">
        <x:v>Seal Kit</x:v>
      </x:c>
      <x:c r="F35" s="12" t="n">
        <x:v>25</x:v>
      </x:c>
      <x:c r="G35" s="11" t="n">
        <x:v>120</x:v>
      </x:c>
      <x:c r="H35" s="11" t="n">
        <x:v>3000</x:v>
      </x:c>
      <x:c r="I35" s="11" t="n">
        <x:v>1375</x:v>
      </x:c>
      <x:c r="J35" s="11" t="n">
        <x:v>1625</x:v>
      </x:c>
      <x:c r="K35" t="str">
        <x:v>Rania</x:v>
      </x:c>
      <x:c r="L35" s="12" t="n">
        <x:v>60</x:v>
      </x:c>
      <x:c r="M35" t="str">
        <x:v>Paid</x:v>
      </x:c>
    </x:row>
    <x:row r="36">
      <x:c r="A36" t="str">
        <x:v>SO-2025-1035</x:v>
      </x:c>
      <x:c r="B36" s="10" t="n">
        <x:v>45944</x:v>
      </x:c>
      <x:c r="C36" t="str">
        <x:v>Atlas Oil Services</x:v>
      </x:c>
      <x:c r="D36" t="str">
        <x:v>West</x:v>
      </x:c>
      <x:c r="E36" t="str">
        <x:v>Control Panel X</x:v>
      </x:c>
      <x:c r="F36" s="12" t="n">
        <x:v>22</x:v>
      </x:c>
      <x:c r="G36" s="11" t="n">
        <x:v>3130</x:v>
      </x:c>
      <x:c r="H36" s="11" t="n">
        <x:v>68860</x:v>
      </x:c>
      <x:c r="I36" s="11" t="n">
        <x:v>43120</x:v>
      </x:c>
      <x:c r="J36" s="11" t="n">
        <x:v>25740</x:v>
      </x:c>
      <x:c r="K36" t="str">
        <x:v>Yousef</x:v>
      </x:c>
      <x:c r="L36" s="12" t="n">
        <x:v>15</x:v>
      </x:c>
      <x:c r="M36" t="str">
        <x:v>Paid</x:v>
      </x:c>
    </x:row>
    <x:row r="37">
      <x:c r="A37" t="str">
        <x:v>SO-2025-1036</x:v>
      </x:c>
      <x:c r="B37" s="10" t="n">
        <x:v>45801</x:v>
      </x:c>
      <x:c r="C37" t="str">
        <x:v>Atlas Oil Services</x:v>
      </x:c>
      <x:c r="D37" t="str">
        <x:v>South</x:v>
      </x:c>
      <x:c r="E37" t="str">
        <x:v>Control Panel X</x:v>
      </x:c>
      <x:c r="F37" s="12" t="n">
        <x:v>22</x:v>
      </x:c>
      <x:c r="G37" s="11" t="n">
        <x:v>2980</x:v>
      </x:c>
      <x:c r="H37" s="11" t="n">
        <x:v>65560</x:v>
      </x:c>
      <x:c r="I37" s="11" t="n">
        <x:v>43120</x:v>
      </x:c>
      <x:c r="J37" s="11" t="n">
        <x:v>22440</x:v>
      </x:c>
      <x:c r="K37" t="str">
        <x:v>Rania</x:v>
      </x:c>
      <x:c r="L37" s="12" t="n">
        <x:v>30</x:v>
      </x:c>
      <x:c r="M37" t="str">
        <x:v>Paid</x:v>
      </x:c>
    </x:row>
    <x:row r="38">
      <x:c r="A38" t="str">
        <x:v>SO-2025-1037</x:v>
      </x:c>
      <x:c r="B38" s="10" t="n">
        <x:v>45918</x:v>
      </x:c>
      <x:c r="C38" t="str">
        <x:v>Desert Build Co.</x:v>
      </x:c>
      <x:c r="D38" t="str">
        <x:v>East</x:v>
      </x:c>
      <x:c r="E38" t="str">
        <x:v>Seal Kit</x:v>
      </x:c>
      <x:c r="F38" s="12" t="n">
        <x:v>44</x:v>
      </x:c>
      <x:c r="G38" s="11" t="n">
        <x:v>240</x:v>
      </x:c>
      <x:c r="H38" s="11" t="n">
        <x:v>10560</x:v>
      </x:c>
      <x:c r="I38" s="11" t="n">
        <x:v>7260</x:v>
      </x:c>
      <x:c r="J38" s="11" t="n">
        <x:v>3300</x:v>
      </x:c>
      <x:c r="K38" t="str">
        <x:v>Rania</x:v>
      </x:c>
      <x:c r="L38" s="12" t="n">
        <x:v>60</x:v>
      </x:c>
      <x:c r="M38" t="str">
        <x:v>Paid</x:v>
      </x:c>
    </x:row>
    <x:row r="39">
      <x:c r="A39" t="str">
        <x:v>SO-2025-1038</x:v>
      </x:c>
      <x:c r="B39" s="10" t="n">
        <x:v>46017</x:v>
      </x:c>
      <x:c r="C39" t="str">
        <x:v>Tripoli Utilities</x:v>
      </x:c>
      <x:c r="D39" t="str">
        <x:v>Export</x:v>
      </x:c>
      <x:c r="E39" t="str">
        <x:v>Sensor Pack</x:v>
      </x:c>
      <x:c r="F39" s="12" t="n">
        <x:v>15</x:v>
      </x:c>
      <x:c r="G39" s="11" t="n">
        <x:v>570</x:v>
      </x:c>
      <x:c r="H39" s="11" t="n">
        <x:v>8550</x:v>
      </x:c>
      <x:c r="I39" s="11" t="n">
        <x:v>3900</x:v>
      </x:c>
      <x:c r="J39" s="11" t="n">
        <x:v>4650</x:v>
      </x:c>
      <x:c r="K39" t="str">
        <x:v>Rania</x:v>
      </x:c>
      <x:c r="L39" s="12" t="n">
        <x:v>30</x:v>
      </x:c>
      <x:c r="M39" t="str">
        <x:v>Paid</x:v>
      </x:c>
    </x:row>
    <x:row r="40">
      <x:c r="A40" t="str">
        <x:v>SO-2025-1039</x:v>
      </x:c>
      <x:c r="B40" s="10" t="n">
        <x:v>45860</x:v>
      </x:c>
      <x:c r="C40" t="str">
        <x:v>Mediterranean Pumps</x:v>
      </x:c>
      <x:c r="D40" t="str">
        <x:v>West</x:v>
      </x:c>
      <x:c r="E40" t="str">
        <x:v>Seal Kit</x:v>
      </x:c>
      <x:c r="F40" s="12" t="n">
        <x:v>43</x:v>
      </x:c>
      <x:c r="G40" s="11" t="n">
        <x:v>60</x:v>
      </x:c>
      <x:c r="H40" s="11" t="n">
        <x:v>2580</x:v>
      </x:c>
      <x:c r="I40" s="11" t="n">
        <x:v>2365</x:v>
      </x:c>
      <x:c r="J40" s="11" t="n">
        <x:v>215</x:v>
      </x:c>
      <x:c r="K40" t="str">
        <x:v>Fathi</x:v>
      </x:c>
      <x:c r="L40" s="12" t="n">
        <x:v>15</x:v>
      </x:c>
      <x:c r="M40" t="str">
        <x:v>Paid</x:v>
      </x:c>
    </x:row>
    <x:row r="41">
      <x:c r="A41" t="str">
        <x:v>SO-2025-1040</x:v>
      </x:c>
      <x:c r="B41" s="10" t="n">
        <x:v>45739</x:v>
      </x:c>
      <x:c r="C41" t="str">
        <x:v>Green Valley Group</x:v>
      </x:c>
      <x:c r="D41" t="str">
        <x:v>West</x:v>
      </x:c>
      <x:c r="E41" t="str">
        <x:v>Motor Coupling</x:v>
      </x:c>
      <x:c r="F41" s="12" t="n">
        <x:v>40</x:v>
      </x:c>
      <x:c r="G41" s="11" t="n">
        <x:v>350</x:v>
      </x:c>
      <x:c r="H41" s="11" t="n">
        <x:v>14000</x:v>
      </x:c>
      <x:c r="I41" s="11" t="n">
        <x:v>6000</x:v>
      </x:c>
      <x:c r="J41" s="11" t="n">
        <x:v>8000</x:v>
      </x:c>
      <x:c r="K41" t="str">
        <x:v>Omar</x:v>
      </x:c>
      <x:c r="L41" s="12" t="n">
        <x:v>45</x:v>
      </x:c>
      <x:c r="M41" t="str">
        <x:v>Paid</x:v>
      </x:c>
    </x:row>
    <x:row r="42">
      <x:c r="A42" t="str">
        <x:v>SO-2025-1041</x:v>
      </x:c>
      <x:c r="B42" s="10" t="n">
        <x:v>45743</x:v>
      </x:c>
      <x:c r="C42" t="str">
        <x:v>Misrata Energy</x:v>
      </x:c>
      <x:c r="D42" t="str">
        <x:v>West</x:v>
      </x:c>
      <x:c r="E42" t="str">
        <x:v>Control Panel X</x:v>
      </x:c>
      <x:c r="F42" s="12" t="n">
        <x:v>21</x:v>
      </x:c>
      <x:c r="G42" s="11" t="n">
        <x:v>3130</x:v>
      </x:c>
      <x:c r="H42" s="11" t="n">
        <x:v>65730</x:v>
      </x:c>
      <x:c r="I42" s="11" t="n">
        <x:v>43050</x:v>
      </x:c>
      <x:c r="J42" s="11" t="n">
        <x:v>22680</x:v>
      </x:c>
      <x:c r="K42" t="str">
        <x:v>Rania</x:v>
      </x:c>
      <x:c r="L42" s="12" t="n">
        <x:v>30</x:v>
      </x:c>
      <x:c r="M42" t="str">
        <x:v>Paid</x:v>
      </x:c>
    </x:row>
    <x:row r="43">
      <x:c r="A43" t="str">
        <x:v>SO-2025-1042</x:v>
      </x:c>
      <x:c r="B43" s="10" t="n">
        <x:v>45707</x:v>
      </x:c>
      <x:c r="C43" t="str">
        <x:v>Green Valley Group</x:v>
      </x:c>
      <x:c r="D43" t="str">
        <x:v>West</x:v>
      </x:c>
      <x:c r="E43" t="str">
        <x:v>Control Panel Z</x:v>
      </x:c>
      <x:c r="F43" s="12" t="n">
        <x:v>10</x:v>
      </x:c>
      <x:c r="G43" s="11" t="n">
        <x:v>4310</x:v>
      </x:c>
      <x:c r="H43" s="11" t="n">
        <x:v>43100</x:v>
      </x:c>
      <x:c r="I43" s="11" t="n">
        <x:v>27850</x:v>
      </x:c>
      <x:c r="J43" s="11" t="n">
        <x:v>15250</x:v>
      </x:c>
      <x:c r="K43" t="str">
        <x:v>Rania</x:v>
      </x:c>
      <x:c r="L43" s="12" t="n">
        <x:v>30</x:v>
      </x:c>
      <x:c r="M43" t="str">
        <x:v>Paid</x:v>
      </x:c>
    </x:row>
    <x:row r="44">
      <x:c r="A44" t="str">
        <x:v>SO-2025-1043</x:v>
      </x:c>
      <x:c r="B44" s="10" t="n">
        <x:v>45811</x:v>
      </x:c>
      <x:c r="C44" t="str">
        <x:v>Tripoli Utilities</x:v>
      </x:c>
      <x:c r="D44" t="str">
        <x:v>Export</x:v>
      </x:c>
      <x:c r="E44" t="str">
        <x:v>Pump Assembly A</x:v>
      </x:c>
      <x:c r="F44" s="12" t="n">
        <x:v>18</x:v>
      </x:c>
      <x:c r="G44" s="11" t="n">
        <x:v>4740</x:v>
      </x:c>
      <x:c r="H44" s="11" t="n">
        <x:v>85320</x:v>
      </x:c>
      <x:c r="I44" s="11" t="n">
        <x:v>59580</x:v>
      </x:c>
      <x:c r="J44" s="11" t="n">
        <x:v>25740</x:v>
      </x:c>
      <x:c r="K44" t="str">
        <x:v>Omar</x:v>
      </x:c>
      <x:c r="L44" s="12" t="n">
        <x:v>30</x:v>
      </x:c>
      <x:c r="M44" t="str">
        <x:v>Paid</x:v>
      </x:c>
    </x:row>
    <x:row r="45">
      <x:c r="A45" t="str">
        <x:v>SO-2026-1044</x:v>
      </x:c>
      <x:c r="B45" s="10" t="n">
        <x:v>46058</x:v>
      </x:c>
      <x:c r="C45" t="str">
        <x:v>Sahara Tech</x:v>
      </x:c>
      <x:c r="D45" t="str">
        <x:v>West</x:v>
      </x:c>
      <x:c r="E45" t="str">
        <x:v>Pump Assembly A</x:v>
      </x:c>
      <x:c r="F45" s="12" t="n">
        <x:v>10</x:v>
      </x:c>
      <x:c r="G45" s="11" t="n">
        <x:v>4910</x:v>
      </x:c>
      <x:c r="H45" s="11" t="n">
        <x:v>49100</x:v>
      </x:c>
      <x:c r="I45" s="11" t="n">
        <x:v>34000</x:v>
      </x:c>
      <x:c r="J45" s="11" t="n">
        <x:v>15100</x:v>
      </x:c>
      <x:c r="K45" t="str">
        <x:v>Rania</x:v>
      </x:c>
      <x:c r="L45" s="12" t="n">
        <x:v>30</x:v>
      </x:c>
      <x:c r="M45" t="str">
        <x:v>Paid</x:v>
      </x:c>
    </x:row>
    <x:row r="46">
      <x:c r="A46" t="str">
        <x:v>SO-2025-1045</x:v>
      </x:c>
      <x:c r="B46" s="10" t="n">
        <x:v>45923</x:v>
      </x:c>
      <x:c r="C46" t="str">
        <x:v>Desert Build Co.</x:v>
      </x:c>
      <x:c r="D46" t="str">
        <x:v>East</x:v>
      </x:c>
      <x:c r="E46" t="str">
        <x:v>Control Panel X</x:v>
      </x:c>
      <x:c r="F46" s="12" t="n">
        <x:v>13</x:v>
      </x:c>
      <x:c r="G46" s="11" t="n">
        <x:v>2980</x:v>
      </x:c>
      <x:c r="H46" s="11" t="n">
        <x:v>38740</x:v>
      </x:c>
      <x:c r="I46" s="11" t="n">
        <x:v>26130</x:v>
      </x:c>
      <x:c r="J46" s="11" t="n">
        <x:v>12610</x:v>
      </x:c>
      <x:c r="K46" t="str">
        <x:v>Rania</x:v>
      </x:c>
      <x:c r="L46" s="12" t="n">
        <x:v>15</x:v>
      </x:c>
      <x:c r="M46" t="str">
        <x:v>Paid</x:v>
      </x:c>
    </x:row>
    <x:row r="47">
      <x:c r="A47" t="str">
        <x:v>SO-2025-1046</x:v>
      </x:c>
      <x:c r="B47" s="10" t="n">
        <x:v>45668</x:v>
      </x:c>
      <x:c r="C47" t="str">
        <x:v>Blue Delta Foods</x:v>
      </x:c>
      <x:c r="D47" t="str">
        <x:v>South</x:v>
      </x:c>
      <x:c r="E47" t="str">
        <x:v>Pump Assembly A</x:v>
      </x:c>
      <x:c r="F47" s="12" t="n">
        <x:v>17</x:v>
      </x:c>
      <x:c r="G47" s="11" t="n">
        <x:v>4740</x:v>
      </x:c>
      <x:c r="H47" s="11" t="n">
        <x:v>80580</x:v>
      </x:c>
      <x:c r="I47" s="11" t="n">
        <x:v>56270</x:v>
      </x:c>
      <x:c r="J47" s="11" t="n">
        <x:v>24310</x:v>
      </x:c>
      <x:c r="K47" t="str">
        <x:v>Fathi</x:v>
      </x:c>
      <x:c r="L47" s="12" t="n">
        <x:v>15</x:v>
      </x:c>
      <x:c r="M47" t="str">
        <x:v>Paid</x:v>
      </x:c>
    </x:row>
    <x:row r="48">
      <x:c r="A48" t="str">
        <x:v>SO-2025-1047</x:v>
      </x:c>
      <x:c r="B48" s="10" t="n">
        <x:v>45833</x:v>
      </x:c>
      <x:c r="C48" t="str">
        <x:v>Tripoli Utilities</x:v>
      </x:c>
      <x:c r="D48" t="str">
        <x:v>West</x:v>
      </x:c>
      <x:c r="E48" t="str">
        <x:v>Sensor Pack</x:v>
      </x:c>
      <x:c r="F48" s="12" t="n">
        <x:v>26</x:v>
      </x:c>
      <x:c r="G48" s="11" t="n">
        <x:v>450</x:v>
      </x:c>
      <x:c r="H48" s="11" t="n">
        <x:v>11700</x:v>
      </x:c>
      <x:c r="I48" s="11" t="n">
        <x:v>5460</x:v>
      </x:c>
      <x:c r="J48" s="11" t="n">
        <x:v>6240</x:v>
      </x:c>
      <x:c r="K48" t="str">
        <x:v>Yousef</x:v>
      </x:c>
      <x:c r="L48" s="12" t="n">
        <x:v>75</x:v>
      </x:c>
      <x:c r="M48" t="str">
        <x:v>Paid</x:v>
      </x:c>
    </x:row>
    <x:row r="49">
      <x:c r="A49" t="str">
        <x:v>SO-2025-1048</x:v>
      </x:c>
      <x:c r="B49" s="10" t="n">
        <x:v>45716</x:v>
      </x:c>
      <x:c r="C49" t="str">
        <x:v>Sahara Tech</x:v>
      </x:c>
      <x:c r="D49" t="str">
        <x:v>West</x:v>
      </x:c>
      <x:c r="E49" t="str">
        <x:v>Pump Assembly B</x:v>
      </x:c>
      <x:c r="F49" s="12" t="n">
        <x:v>7</x:v>
      </x:c>
      <x:c r="G49" s="11" t="n">
        <x:v>6310</x:v>
      </x:c>
      <x:c r="H49" s="11" t="n">
        <x:v>44170</x:v>
      </x:c>
      <x:c r="I49" s="11" t="n">
        <x:v>31850</x:v>
      </x:c>
      <x:c r="J49" s="11" t="n">
        <x:v>12320</x:v>
      </x:c>
      <x:c r="K49" t="str">
        <x:v>Yousef</x:v>
      </x:c>
      <x:c r="L49" s="12" t="n">
        <x:v>30</x:v>
      </x:c>
      <x:c r="M49" t="str">
        <x:v>Paid</x:v>
      </x:c>
    </x:row>
    <x:row r="50">
      <x:c r="A50" t="str">
        <x:v>SO-2025-1049</x:v>
      </x:c>
      <x:c r="B50" s="10" t="n">
        <x:v>45916</x:v>
      </x:c>
      <x:c r="C50" t="str">
        <x:v>Sahara Tech</x:v>
      </x:c>
      <x:c r="D50" t="str">
        <x:v>West</x:v>
      </x:c>
      <x:c r="E50" t="str">
        <x:v>Motor Coupling</x:v>
      </x:c>
      <x:c r="F50" s="12" t="n">
        <x:v>18</x:v>
      </x:c>
      <x:c r="G50" s="11" t="n">
        <x:v>200</x:v>
      </x:c>
      <x:c r="H50" s="11" t="n">
        <x:v>3600</x:v>
      </x:c>
      <x:c r="I50" s="11" t="n">
        <x:v>1800</x:v>
      </x:c>
      <x:c r="J50" s="11" t="n">
        <x:v>1800</x:v>
      </x:c>
      <x:c r="K50" t="str">
        <x:v>Omar</x:v>
      </x:c>
      <x:c r="L50" s="12" t="n">
        <x:v>75</x:v>
      </x:c>
      <x:c r="M50" t="str">
        <x:v>Paid</x:v>
      </x:c>
    </x:row>
    <x:row r="51">
      <x:c r="A51" t="str">
        <x:v>SO-2025-1050</x:v>
      </x:c>
      <x:c r="B51" s="10" t="n">
        <x:v>45757</x:v>
      </x:c>
      <x:c r="C51" t="str">
        <x:v>Tripoli Utilities</x:v>
      </x:c>
      <x:c r="D51" t="str">
        <x:v>East</x:v>
      </x:c>
      <x:c r="E51" t="str">
        <x:v>Sensor Pack</x:v>
      </x:c>
      <x:c r="F51" s="12" t="n">
        <x:v>10</x:v>
      </x:c>
      <x:c r="G51" s="11" t="n">
        <x:v>620</x:v>
      </x:c>
      <x:c r="H51" s="11" t="n">
        <x:v>6200</x:v>
      </x:c>
      <x:c r="I51" s="11" t="n">
        <x:v>3350</x:v>
      </x:c>
      <x:c r="J51" s="11" t="n">
        <x:v>2850</x:v>
      </x:c>
      <x:c r="K51" t="str">
        <x:v>Rania</x:v>
      </x:c>
      <x:c r="L51" s="12" t="n">
        <x:v>60</x:v>
      </x:c>
      <x:c r="M51" t="str">
        <x:v>Paid</x:v>
      </x:c>
    </x:row>
    <x:row r="52">
      <x:c r="A52" t="str">
        <x:v>SO-2025-1051</x:v>
      </x:c>
      <x:c r="B52" s="10" t="n">
        <x:v>45861</x:v>
      </x:c>
      <x:c r="C52" t="str">
        <x:v>Tripoli Utilities</x:v>
      </x:c>
      <x:c r="D52" t="str">
        <x:v>West</x:v>
      </x:c>
      <x:c r="E52" t="str">
        <x:v>Pump Assembly B</x:v>
      </x:c>
      <x:c r="F52" s="12" t="n">
        <x:v>6</x:v>
      </x:c>
      <x:c r="G52" s="11" t="n">
        <x:v>6200</x:v>
      </x:c>
      <x:c r="H52" s="11" t="n">
        <x:v>37200</x:v>
      </x:c>
      <x:c r="I52" s="11" t="n">
        <x:v>27060</x:v>
      </x:c>
      <x:c r="J52" s="11" t="n">
        <x:v>10140</x:v>
      </x:c>
      <x:c r="K52" t="str">
        <x:v>Salma</x:v>
      </x:c>
      <x:c r="L52" s="12" t="n">
        <x:v>45</x:v>
      </x:c>
      <x:c r="M52" t="str">
        <x:v>Paid</x:v>
      </x:c>
    </x:row>
    <x:row r="53">
      <x:c r="A53" t="str">
        <x:v>SO-2025-1052</x:v>
      </x:c>
      <x:c r="B53" s="10" t="n">
        <x:v>45687</x:v>
      </x:c>
      <x:c r="C53" t="str">
        <x:v>Sahara Tech</x:v>
      </x:c>
      <x:c r="D53" t="str">
        <x:v>West</x:v>
      </x:c>
      <x:c r="E53" t="str">
        <x:v>Seal Kit</x:v>
      </x:c>
      <x:c r="F53" s="12" t="n">
        <x:v>32</x:v>
      </x:c>
      <x:c r="G53" s="11" t="n">
        <x:v>210</x:v>
      </x:c>
      <x:c r="H53" s="11" t="n">
        <x:v>6720</x:v>
      </x:c>
      <x:c r="I53" s="11" t="n">
        <x:v>1760</x:v>
      </x:c>
      <x:c r="J53" s="11" t="n">
        <x:v>4960</x:v>
      </x:c>
      <x:c r="K53" t="str">
        <x:v>Omar</x:v>
      </x:c>
      <x:c r="L53" s="12" t="n">
        <x:v>15</x:v>
      </x:c>
      <x:c r="M53" t="str">
        <x:v>Paid</x:v>
      </x:c>
    </x:row>
    <x:row r="54">
      <x:c r="A54" t="str">
        <x:v>SO-2025-1053</x:v>
      </x:c>
      <x:c r="B54" s="10" t="n">
        <x:v>45855</x:v>
      </x:c>
      <x:c r="C54" t="str">
        <x:v>Tripoli Utilities</x:v>
      </x:c>
      <x:c r="D54" t="str">
        <x:v>East</x:v>
      </x:c>
      <x:c r="E54" t="str">
        <x:v>Pump Assembly B</x:v>
      </x:c>
      <x:c r="F54" s="12" t="n">
        <x:v>6</x:v>
      </x:c>
      <x:c r="G54" s="11" t="n">
        <x:v>6310</x:v>
      </x:c>
      <x:c r="H54" s="11" t="n">
        <x:v>37860</x:v>
      </x:c>
      <x:c r="I54" s="11" t="n">
        <x:v>27300</x:v>
      </x:c>
      <x:c r="J54" s="11" t="n">
        <x:v>10560</x:v>
      </x:c>
      <x:c r="K54" t="str">
        <x:v>Omar</x:v>
      </x:c>
      <x:c r="L54" s="12" t="n">
        <x:v>45</x:v>
      </x:c>
      <x:c r="M54" t="str">
        <x:v>Pending</x:v>
      </x:c>
    </x:row>
    <x:row r="55">
      <x:c r="A55" t="str">
        <x:v>SO-2025-1054</x:v>
      </x:c>
      <x:c r="B55" s="10" t="n">
        <x:v>45797</x:v>
      </x:c>
      <x:c r="C55" t="str">
        <x:v>Mediterranean Pumps</x:v>
      </x:c>
      <x:c r="D55" t="str">
        <x:v>West</x:v>
      </x:c>
      <x:c r="E55" t="str">
        <x:v>Control Panel X</x:v>
      </x:c>
      <x:c r="F55" s="12" t="n">
        <x:v>15</x:v>
      </x:c>
      <x:c r="G55" s="11" t="n">
        <x:v>3160</x:v>
      </x:c>
      <x:c r="H55" s="11" t="n">
        <x:v>47400</x:v>
      </x:c>
      <x:c r="I55" s="11" t="n">
        <x:v>30750</x:v>
      </x:c>
      <x:c r="J55" s="11" t="n">
        <x:v>16650</x:v>
      </x:c>
      <x:c r="K55" t="str">
        <x:v>Salma</x:v>
      </x:c>
      <x:c r="L55" s="12" t="n">
        <x:v>15</x:v>
      </x:c>
      <x:c r="M55" t="str">
        <x:v>Paid</x:v>
      </x:c>
    </x:row>
    <x:row r="56">
      <x:c r="A56" t="str">
        <x:v>SO-2025-1055</x:v>
      </x:c>
      <x:c r="B56" s="10" t="n">
        <x:v>45818</x:v>
      </x:c>
      <x:c r="C56" t="str">
        <x:v>Misrata Energy</x:v>
      </x:c>
      <x:c r="D56" t="str">
        <x:v>West</x:v>
      </x:c>
      <x:c r="E56" t="str">
        <x:v>Pump Assembly A</x:v>
      </x:c>
      <x:c r="F56" s="12" t="n">
        <x:v>10</x:v>
      </x:c>
      <x:c r="G56" s="11" t="n">
        <x:v>4680</x:v>
      </x:c>
      <x:c r="H56" s="11" t="n">
        <x:v>46800</x:v>
      </x:c>
      <x:c r="I56" s="11" t="n">
        <x:v>34350</x:v>
      </x:c>
      <x:c r="J56" s="11" t="n">
        <x:v>12450</x:v>
      </x:c>
      <x:c r="K56" t="str">
        <x:v>Fathi</x:v>
      </x:c>
      <x:c r="L56" s="12" t="n">
        <x:v>60</x:v>
      </x:c>
      <x:c r="M56" t="str">
        <x:v>Paid</x:v>
      </x:c>
    </x:row>
    <x:row r="57">
      <x:c r="A57" t="str">
        <x:v>SO-2025-1056</x:v>
      </x:c>
      <x:c r="B57" s="10" t="n">
        <x:v>45787</x:v>
      </x:c>
      <x:c r="C57" t="str">
        <x:v>Tripoli Utilities</x:v>
      </x:c>
      <x:c r="D57" t="str">
        <x:v>South</x:v>
      </x:c>
      <x:c r="E57" t="str">
        <x:v>Pump Assembly A</x:v>
      </x:c>
      <x:c r="F57" s="12" t="n">
        <x:v>17</x:v>
      </x:c>
      <x:c r="G57" s="11" t="n">
        <x:v>4680</x:v>
      </x:c>
      <x:c r="H57" s="11" t="n">
        <x:v>79560</x:v>
      </x:c>
      <x:c r="I57" s="11" t="n">
        <x:v>57120</x:v>
      </x:c>
      <x:c r="J57" s="11" t="n">
        <x:v>22440</x:v>
      </x:c>
      <x:c r="K57" t="str">
        <x:v>Rania</x:v>
      </x:c>
      <x:c r="L57" s="12" t="n">
        <x:v>60</x:v>
      </x:c>
      <x:c r="M57" t="str">
        <x:v>Pending</x:v>
      </x:c>
    </x:row>
    <x:row r="58">
      <x:c r="A58" t="str">
        <x:v>SO-2025-1057</x:v>
      </x:c>
      <x:c r="B58" s="10" t="n">
        <x:v>45671</x:v>
      </x:c>
      <x:c r="C58" t="str">
        <x:v>North Coast Trading</x:v>
      </x:c>
      <x:c r="D58" t="str">
        <x:v>West</x:v>
      </x:c>
      <x:c r="E58" t="str">
        <x:v>Pump Assembly B</x:v>
      </x:c>
      <x:c r="F58" s="12" t="n">
        <x:v>12</x:v>
      </x:c>
      <x:c r="G58" s="11" t="n">
        <x:v>6260</x:v>
      </x:c>
      <x:c r="H58" s="11" t="n">
        <x:v>75120</x:v>
      </x:c>
      <x:c r="I58" s="11" t="n">
        <x:v>54120</x:v>
      </x:c>
      <x:c r="J58" s="11" t="n">
        <x:v>21000</x:v>
      </x:c>
      <x:c r="K58" t="str">
        <x:v>Yousef</x:v>
      </x:c>
      <x:c r="L58" s="12" t="n">
        <x:v>45</x:v>
      </x:c>
      <x:c r="M58" t="str">
        <x:v>Paid</x:v>
      </x:c>
    </x:row>
    <x:row r="59">
      <x:c r="A59" t="str">
        <x:v>SO-2026-1058</x:v>
      </x:c>
      <x:c r="B59" s="10" t="n">
        <x:v>46028</x:v>
      </x:c>
      <x:c r="C59" t="str">
        <x:v>Mediterranean Pumps</x:v>
      </x:c>
      <x:c r="D59" t="str">
        <x:v>West</x:v>
      </x:c>
      <x:c r="E59" t="str">
        <x:v>Seal Kit</x:v>
      </x:c>
      <x:c r="F59" s="12" t="n">
        <x:v>57</x:v>
      </x:c>
      <x:c r="G59" s="11" t="n">
        <x:v>120</x:v>
      </x:c>
      <x:c r="H59" s="11" t="n">
        <x:v>6840</x:v>
      </x:c>
      <x:c r="I59" s="11" t="n">
        <x:v>285</x:v>
      </x:c>
      <x:c r="J59" s="11" t="n">
        <x:v>6555</x:v>
      </x:c>
      <x:c r="K59" t="str">
        <x:v>Yousef</x:v>
      </x:c>
      <x:c r="L59" s="12" t="n">
        <x:v>75</x:v>
      </x:c>
      <x:c r="M59" t="str">
        <x:v>Paid</x:v>
      </x:c>
    </x:row>
    <x:row r="60">
      <x:c r="A60" t="str">
        <x:v>SO-2025-1059</x:v>
      </x:c>
      <x:c r="B60" s="10" t="n">
        <x:v>46018</x:v>
      </x:c>
      <x:c r="C60" t="str">
        <x:v>Tripoli Utilities</x:v>
      </x:c>
      <x:c r="D60" t="str">
        <x:v>West</x:v>
      </x:c>
      <x:c r="E60" t="str">
        <x:v>Control Panel Z</x:v>
      </x:c>
      <x:c r="F60" s="12" t="n">
        <x:v>3</x:v>
      </x:c>
      <x:c r="G60" s="11" t="n">
        <x:v>4310</x:v>
      </x:c>
      <x:c r="H60" s="11" t="n">
        <x:v>12930</x:v>
      </x:c>
      <x:c r="I60" s="11" t="n">
        <x:v>8835</x:v>
      </x:c>
      <x:c r="J60" s="11" t="n">
        <x:v>4095</x:v>
      </x:c>
      <x:c r="K60" t="str">
        <x:v>Salma</x:v>
      </x:c>
      <x:c r="L60" s="12" t="n">
        <x:v>15</x:v>
      </x:c>
      <x:c r="M60" t="str">
        <x:v>Pending</x:v>
      </x:c>
    </x:row>
    <x:row r="61">
      <x:c r="A61" t="str">
        <x:v>SO-2025-1060</x:v>
      </x:c>
      <x:c r="B61" s="10" t="n">
        <x:v>45728</x:v>
      </x:c>
      <x:c r="C61" t="str">
        <x:v>Green Valley Group</x:v>
      </x:c>
      <x:c r="D61" t="str">
        <x:v>Export</x:v>
      </x:c>
      <x:c r="E61" t="str">
        <x:v>Control Panel X</x:v>
      </x:c>
      <x:c r="F61" s="12" t="n">
        <x:v>19</x:v>
      </x:c>
      <x:c r="G61" s="11" t="n">
        <x:v>3160</x:v>
      </x:c>
      <x:c r="H61" s="11" t="n">
        <x:v>60040</x:v>
      </x:c>
      <x:c r="I61" s="11" t="n">
        <x:v>37240</x:v>
      </x:c>
      <x:c r="J61" s="11" t="n">
        <x:v>22800</x:v>
      </x:c>
      <x:c r="K61" t="str">
        <x:v>Omar</x:v>
      </x:c>
      <x:c r="L61" s="12" t="n">
        <x:v>75</x:v>
      </x:c>
      <x:c r="M61" t="str">
        <x:v>Paid</x:v>
      </x:c>
    </x:row>
    <x:row r="62">
      <x:c r="A62" t="str">
        <x:v>SO-2025-1061</x:v>
      </x:c>
      <x:c r="B62" s="10" t="n">
        <x:v>45785</x:v>
      </x:c>
      <x:c r="C62" t="str">
        <x:v>Mediterranean Pumps</x:v>
      </x:c>
      <x:c r="D62" t="str">
        <x:v>West</x:v>
      </x:c>
      <x:c r="E62" t="str">
        <x:v>Control Panel X</x:v>
      </x:c>
      <x:c r="F62" s="12" t="n">
        <x:v>7</x:v>
      </x:c>
      <x:c r="G62" s="11" t="n">
        <x:v>3210</x:v>
      </x:c>
      <x:c r="H62" s="11" t="n">
        <x:v>22470</x:v>
      </x:c>
      <x:c r="I62" s="11" t="n">
        <x:v>14840</x:v>
      </x:c>
      <x:c r="J62" s="11" t="n">
        <x:v>7630</x:v>
      </x:c>
      <x:c r="K62" t="str">
        <x:v>Yousef</x:v>
      </x:c>
      <x:c r="L62" s="12" t="n">
        <x:v>15</x:v>
      </x:c>
      <x:c r="M62" t="str">
        <x:v>Paid</x:v>
      </x:c>
    </x:row>
    <x:row r="63">
      <x:c r="A63" t="str">
        <x:v>SO-2025-1062</x:v>
      </x:c>
      <x:c r="B63" s="10" t="n">
        <x:v>45693</x:v>
      </x:c>
      <x:c r="C63" t="str">
        <x:v>Mediterranean Pumps</x:v>
      </x:c>
      <x:c r="D63" t="str">
        <x:v>West</x:v>
      </x:c>
      <x:c r="E63" t="str">
        <x:v>Pump Assembly A</x:v>
      </x:c>
      <x:c r="F63" s="12" t="n">
        <x:v>8</x:v>
      </x:c>
      <x:c r="G63" s="11" t="n">
        <x:v>4740</x:v>
      </x:c>
      <x:c r="H63" s="11" t="n">
        <x:v>37920</x:v>
      </x:c>
      <x:c r="I63" s="11" t="n">
        <x:v>26880</x:v>
      </x:c>
      <x:c r="J63" s="11" t="n">
        <x:v>11040</x:v>
      </x:c>
      <x:c r="K63" t="str">
        <x:v>Salma</x:v>
      </x:c>
      <x:c r="L63" s="12" t="n">
        <x:v>75</x:v>
      </x:c>
      <x:c r="M63" t="str">
        <x:v>Paid</x:v>
      </x:c>
    </x:row>
    <x:row r="64">
      <x:c r="A64" t="str">
        <x:v>SO-2025-1063</x:v>
      </x:c>
      <x:c r="B64" s="10" t="n">
        <x:v>45895</x:v>
      </x:c>
      <x:c r="C64" t="str">
        <x:v>Mediterranean Pumps</x:v>
      </x:c>
      <x:c r="D64" t="str">
        <x:v>South</x:v>
      </x:c>
      <x:c r="E64" t="str">
        <x:v>Pump Assembly A</x:v>
      </x:c>
      <x:c r="F64" s="12" t="n">
        <x:v>18</x:v>
      </x:c>
      <x:c r="G64" s="11" t="n">
        <x:v>4910</x:v>
      </x:c>
      <x:c r="H64" s="11" t="n">
        <x:v>88380</x:v>
      </x:c>
      <x:c r="I64" s="11" t="n">
        <x:v>61200</x:v>
      </x:c>
      <x:c r="J64" s="11" t="n">
        <x:v>27180</x:v>
      </x:c>
      <x:c r="K64" t="str">
        <x:v>Omar</x:v>
      </x:c>
      <x:c r="L64" s="12" t="n">
        <x:v>60</x:v>
      </x:c>
      <x:c r="M64" t="str">
        <x:v>Paid</x:v>
      </x:c>
    </x:row>
    <x:row r="65">
      <x:c r="A65" t="str">
        <x:v>SO-2025-1064</x:v>
      </x:c>
      <x:c r="B65" s="10" t="n">
        <x:v>45761</x:v>
      </x:c>
      <x:c r="C65" t="str">
        <x:v>Blue Delta Foods</x:v>
      </x:c>
      <x:c r="D65" t="str">
        <x:v>East</x:v>
      </x:c>
      <x:c r="E65" t="str">
        <x:v>Control Panel X</x:v>
      </x:c>
      <x:c r="F65" s="12" t="n">
        <x:v>14</x:v>
      </x:c>
      <x:c r="G65" s="11" t="n">
        <x:v>3160</x:v>
      </x:c>
      <x:c r="H65" s="11" t="n">
        <x:v>44240</x:v>
      </x:c>
      <x:c r="I65" s="11" t="n">
        <x:v>29680</x:v>
      </x:c>
      <x:c r="J65" s="11" t="n">
        <x:v>14560</x:v>
      </x:c>
      <x:c r="K65" t="str">
        <x:v>Salma</x:v>
      </x:c>
      <x:c r="L65" s="12" t="n">
        <x:v>15</x:v>
      </x:c>
      <x:c r="M65" t="str">
        <x:v>Paid</x:v>
      </x:c>
    </x:row>
    <x:row r="66">
      <x:c r="A66" t="str">
        <x:v>SO-2025-1065</x:v>
      </x:c>
      <x:c r="B66" s="10" t="n">
        <x:v>45908</x:v>
      </x:c>
      <x:c r="C66" t="str">
        <x:v>North Coast Trading</x:v>
      </x:c>
      <x:c r="D66" t="str">
        <x:v>Export</x:v>
      </x:c>
      <x:c r="E66" t="str">
        <x:v>Pump Assembly A</x:v>
      </x:c>
      <x:c r="F66" s="12" t="n">
        <x:v>7</x:v>
      </x:c>
      <x:c r="G66" s="11" t="n">
        <x:v>4910</x:v>
      </x:c>
      <x:c r="H66" s="11" t="n">
        <x:v>34370</x:v>
      </x:c>
      <x:c r="I66" s="11" t="n">
        <x:v>24045</x:v>
      </x:c>
      <x:c r="J66" s="11" t="n">
        <x:v>10325</x:v>
      </x:c>
      <x:c r="K66" t="str">
        <x:v>Fathi</x:v>
      </x:c>
      <x:c r="L66" s="12" t="n">
        <x:v>75</x:v>
      </x:c>
      <x:c r="M66" t="str">
        <x:v>Paid</x:v>
      </x:c>
    </x:row>
    <x:row r="67">
      <x:c r="A67" t="str">
        <x:v>SO-2025-1066</x:v>
      </x:c>
      <x:c r="B67" s="10" t="n">
        <x:v>45897</x:v>
      </x:c>
      <x:c r="C67" t="str">
        <x:v>Mediterranean Pumps</x:v>
      </x:c>
      <x:c r="D67" t="str">
        <x:v>East</x:v>
      </x:c>
      <x:c r="E67" t="str">
        <x:v>Pump Assembly A</x:v>
      </x:c>
      <x:c r="F67" s="12" t="n">
        <x:v>18</x:v>
      </x:c>
      <x:c r="G67" s="11" t="n">
        <x:v>4860</x:v>
      </x:c>
      <x:c r="H67" s="11" t="n">
        <x:v>87480</x:v>
      </x:c>
      <x:c r="I67" s="11" t="n">
        <x:v>60480</x:v>
      </x:c>
      <x:c r="J67" s="11" t="n">
        <x:v>27000</x:v>
      </x:c>
      <x:c r="K67" t="str">
        <x:v>Fathi</x:v>
      </x:c>
      <x:c r="L67" s="12" t="n">
        <x:v>15</x:v>
      </x:c>
      <x:c r="M67" t="str">
        <x:v>Paid</x:v>
      </x:c>
    </x:row>
    <x:row r="68">
      <x:c r="A68" t="str">
        <x:v>SO-2025-1067</x:v>
      </x:c>
      <x:c r="B68" s="10" t="n">
        <x:v>45668</x:v>
      </x:c>
      <x:c r="C68" t="str">
        <x:v>North Coast Trading</x:v>
      </x:c>
      <x:c r="D68" t="str">
        <x:v>East</x:v>
      </x:c>
      <x:c r="E68" t="str">
        <x:v>Motor Coupling</x:v>
      </x:c>
      <x:c r="F68" s="12" t="n">
        <x:v>40</x:v>
      </x:c>
      <x:c r="G68" s="11" t="n">
        <x:v>350</x:v>
      </x:c>
      <x:c r="H68" s="11" t="n">
        <x:v>14000</x:v>
      </x:c>
      <x:c r="I68" s="11" t="n">
        <x:v>7600</x:v>
      </x:c>
      <x:c r="J68" s="11" t="n">
        <x:v>6400</x:v>
      </x:c>
      <x:c r="K68" t="str">
        <x:v>Rania</x:v>
      </x:c>
      <x:c r="L68" s="12" t="n">
        <x:v>30</x:v>
      </x:c>
      <x:c r="M68" t="str">
        <x:v>Paid</x:v>
      </x:c>
    </x:row>
    <x:row r="69">
      <x:c r="A69" t="str">
        <x:v>SO-2025-1068</x:v>
      </x:c>
      <x:c r="B69" s="10" t="n">
        <x:v>45767</x:v>
      </x:c>
      <x:c r="C69" t="str">
        <x:v>Blue Delta Foods</x:v>
      </x:c>
      <x:c r="D69" t="str">
        <x:v>East</x:v>
      </x:c>
      <x:c r="E69" t="str">
        <x:v>Pump Assembly A</x:v>
      </x:c>
      <x:c r="F69" s="12" t="n">
        <x:v>12</x:v>
      </x:c>
      <x:c r="G69" s="11" t="n">
        <x:v>4800</x:v>
      </x:c>
      <x:c r="H69" s="11" t="n">
        <x:v>57600</x:v>
      </x:c>
      <x:c r="I69" s="11" t="n">
        <x:v>40800</x:v>
      </x:c>
      <x:c r="J69" s="11" t="n">
        <x:v>16800</x:v>
      </x:c>
      <x:c r="K69" t="str">
        <x:v>Salma</x:v>
      </x:c>
      <x:c r="L69" s="12" t="n">
        <x:v>60</x:v>
      </x:c>
      <x:c r="M69" t="str">
        <x:v>Paid</x:v>
      </x:c>
    </x:row>
    <x:row r="70">
      <x:c r="A70" t="str">
        <x:v>SO-2025-1069</x:v>
      </x:c>
      <x:c r="B70" s="10" t="n">
        <x:v>45920</x:v>
      </x:c>
      <x:c r="C70" t="str">
        <x:v>North Coast Trading</x:v>
      </x:c>
      <x:c r="D70" t="str">
        <x:v>Export</x:v>
      </x:c>
      <x:c r="E70" t="str">
        <x:v>Seal Kit</x:v>
      </x:c>
      <x:c r="F70" s="12" t="n">
        <x:v>30</x:v>
      </x:c>
      <x:c r="G70" s="11" t="n">
        <x:v>210</x:v>
      </x:c>
      <x:c r="H70" s="11" t="n">
        <x:v>6300</x:v>
      </x:c>
      <x:c r="I70" s="11" t="n">
        <x:v>3900</x:v>
      </x:c>
      <x:c r="J70" s="11" t="n">
        <x:v>2400</x:v>
      </x:c>
      <x:c r="K70" t="str">
        <x:v>Rania</x:v>
      </x:c>
      <x:c r="L70" s="12" t="n">
        <x:v>15</x:v>
      </x:c>
      <x:c r="M70" t="str">
        <x:v>Pending</x:v>
      </x:c>
    </x:row>
    <x:row r="71">
      <x:c r="A71" t="str">
        <x:v>SO-2025-1070</x:v>
      </x:c>
      <x:c r="B71" s="10" t="n">
        <x:v>45911</x:v>
      </x:c>
      <x:c r="C71" t="str">
        <x:v>Mediterranean Pumps</x:v>
      </x:c>
      <x:c r="D71" t="str">
        <x:v>West</x:v>
      </x:c>
      <x:c r="E71" t="str">
        <x:v>Seal Kit</x:v>
      </x:c>
      <x:c r="F71" s="12" t="n">
        <x:v>42</x:v>
      </x:c>
      <x:c r="G71" s="11" t="n">
        <x:v>180</x:v>
      </x:c>
      <x:c r="H71" s="11" t="n">
        <x:v>7560</x:v>
      </x:c>
      <x:c r="I71" s="11" t="n">
        <x:v>5460</x:v>
      </x:c>
      <x:c r="J71" s="11" t="n">
        <x:v>2100</x:v>
      </x:c>
      <x:c r="K71" t="str">
        <x:v>Fathi</x:v>
      </x:c>
      <x:c r="L71" s="12" t="n">
        <x:v>15</x:v>
      </x:c>
      <x:c r="M71" t="str">
        <x:v>Paid</x:v>
      </x:c>
    </x:row>
    <x:row r="72">
      <x:c r="A72" t="str">
        <x:v>SO-2025-1071</x:v>
      </x:c>
      <x:c r="B72" s="10" t="n">
        <x:v>45660</x:v>
      </x:c>
      <x:c r="C72" t="str">
        <x:v>Green Valley Group</x:v>
      </x:c>
      <x:c r="D72" t="str">
        <x:v>South</x:v>
      </x:c>
      <x:c r="E72" t="str">
        <x:v>Motor Coupling</x:v>
      </x:c>
      <x:c r="F72" s="12" t="n">
        <x:v>13</x:v>
      </x:c>
      <x:c r="G72" s="11" t="n">
        <x:v>260</x:v>
      </x:c>
      <x:c r="H72" s="11" t="n">
        <x:v>3380</x:v>
      </x:c>
      <x:c r="I72" s="11" t="n">
        <x:v>1300</x:v>
      </x:c>
      <x:c r="J72" s="11" t="n">
        <x:v>2080</x:v>
      </x:c>
      <x:c r="K72" t="str">
        <x:v>Fathi</x:v>
      </x:c>
      <x:c r="L72" s="12" t="n">
        <x:v>30</x:v>
      </x:c>
      <x:c r="M72" t="str">
        <x:v>Paid</x:v>
      </x:c>
    </x:row>
    <x:row r="73">
      <x:c r="A73" t="str">
        <x:v>SO-2025-1072</x:v>
      </x:c>
      <x:c r="B73" s="10" t="n">
        <x:v>45861</x:v>
      </x:c>
      <x:c r="C73" t="str">
        <x:v>Al Noor Industrial</x:v>
      </x:c>
      <x:c r="D73" t="str">
        <x:v>Export</x:v>
      </x:c>
      <x:c r="E73" t="str">
        <x:v>Control Panel Z</x:v>
      </x:c>
      <x:c r="F73" s="12" t="n">
        <x:v>8</x:v>
      </x:c>
      <x:c r="G73" s="11" t="n">
        <x:v>4230</x:v>
      </x:c>
      <x:c r="H73" s="11" t="n">
        <x:v>33840</x:v>
      </x:c>
      <x:c r="I73" s="11" t="n">
        <x:v>23000</x:v>
      </x:c>
      <x:c r="J73" s="11" t="n">
        <x:v>10840</x:v>
      </x:c>
      <x:c r="K73" t="str">
        <x:v>Omar</x:v>
      </x:c>
      <x:c r="L73" s="12" t="n">
        <x:v>30</x:v>
      </x:c>
      <x:c r="M73" t="str">
        <x:v>Pending</x:v>
      </x:c>
    </x:row>
    <x:row r="74">
      <x:c r="A74" t="str">
        <x:v>SO-2026-1073</x:v>
      </x:c>
      <x:c r="B74" s="10" t="n">
        <x:v>46087</x:v>
      </x:c>
      <x:c r="C74" t="str">
        <x:v>North Coast Trading</x:v>
      </x:c>
      <x:c r="D74" t="str">
        <x:v>East</x:v>
      </x:c>
      <x:c r="E74" t="str">
        <x:v>Pump Assembly A</x:v>
      </x:c>
      <x:c r="F74" s="12" t="n">
        <x:v>8</x:v>
      </x:c>
      <x:c r="G74" s="11" t="n">
        <x:v>4830</x:v>
      </x:c>
      <x:c r="H74" s="11" t="n">
        <x:v>38640</x:v>
      </x:c>
      <x:c r="I74" s="11" t="n">
        <x:v>27760</x:v>
      </x:c>
      <x:c r="J74" s="11" t="n">
        <x:v>10880</x:v>
      </x:c>
      <x:c r="K74" t="str">
        <x:v>Fathi</x:v>
      </x:c>
      <x:c r="L74" s="12" t="n">
        <x:v>30</x:v>
      </x:c>
      <x:c r="M74" t="str">
        <x:v>Paid</x:v>
      </x:c>
    </x:row>
    <x:row r="75">
      <x:c r="A75" t="str">
        <x:v>SO-2026-1074</x:v>
      </x:c>
      <x:c r="B75" s="10" t="n">
        <x:v>46061</x:v>
      </x:c>
      <x:c r="C75" t="str">
        <x:v>Al Noor Industrial</x:v>
      </x:c>
      <x:c r="D75" t="str">
        <x:v>Export</x:v>
      </x:c>
      <x:c r="E75" t="str">
        <x:v>Motor Coupling</x:v>
      </x:c>
      <x:c r="F75" s="12" t="n">
        <x:v>30</x:v>
      </x:c>
      <x:c r="G75" s="11" t="n">
        <x:v>350</x:v>
      </x:c>
      <x:c r="H75" s="11" t="n">
        <x:v>10500</x:v>
      </x:c>
      <x:c r="I75" s="11" t="n">
        <x:v>7800</x:v>
      </x:c>
      <x:c r="J75" s="11" t="n">
        <x:v>2700</x:v>
      </x:c>
      <x:c r="K75" t="str">
        <x:v>Yousef</x:v>
      </x:c>
      <x:c r="L75" s="12" t="n">
        <x:v>30</x:v>
      </x:c>
      <x:c r="M75" t="str">
        <x:v>Paid</x:v>
      </x:c>
    </x:row>
    <x:row r="76">
      <x:c r="A76" t="str">
        <x:v>SO-2025-1075</x:v>
      </x:c>
      <x:c r="B76" s="10" t="n">
        <x:v>45685</x:v>
      </x:c>
      <x:c r="C76" t="str">
        <x:v>Al Noor Industrial</x:v>
      </x:c>
      <x:c r="D76" t="str">
        <x:v>East</x:v>
      </x:c>
      <x:c r="E76" t="str">
        <x:v>Seal Kit</x:v>
      </x:c>
      <x:c r="F76" s="12" t="n">
        <x:v>57</x:v>
      </x:c>
      <x:c r="G76" s="11" t="n">
        <x:v>180</x:v>
      </x:c>
      <x:c r="H76" s="11" t="n">
        <x:v>10260</x:v>
      </x:c>
      <x:c r="I76" s="11" t="n">
        <x:v>7410</x:v>
      </x:c>
      <x:c r="J76" s="11" t="n">
        <x:v>2850</x:v>
      </x:c>
      <x:c r="K76" t="str">
        <x:v>Omar</x:v>
      </x:c>
      <x:c r="L76" s="12" t="n">
        <x:v>60</x:v>
      </x:c>
      <x:c r="M76" t="str">
        <x:v>Pending</x:v>
      </x:c>
    </x:row>
    <x:row r="77">
      <x:c r="A77" t="str">
        <x:v>SO-2025-1076</x:v>
      </x:c>
      <x:c r="B77" s="10" t="n">
        <x:v>45901</x:v>
      </x:c>
      <x:c r="C77" t="str">
        <x:v>Al Noor Industrial</x:v>
      </x:c>
      <x:c r="D77" t="str">
        <x:v>West</x:v>
      </x:c>
      <x:c r="E77" t="str">
        <x:v>Pump Assembly B</x:v>
      </x:c>
      <x:c r="F77" s="12" t="n">
        <x:v>7</x:v>
      </x:c>
      <x:c r="G77" s="11" t="n">
        <x:v>6230</x:v>
      </x:c>
      <x:c r="H77" s="11" t="n">
        <x:v>43610</x:v>
      </x:c>
      <x:c r="I77" s="11" t="n">
        <x:v>31570</x:v>
      </x:c>
      <x:c r="J77" s="11" t="n">
        <x:v>12040</x:v>
      </x:c>
      <x:c r="K77" t="str">
        <x:v>Fathi</x:v>
      </x:c>
      <x:c r="L77" s="12" t="n">
        <x:v>45</x:v>
      </x:c>
      <x:c r="M77" t="str">
        <x:v>Paid</x:v>
      </x:c>
    </x:row>
    <x:row r="78">
      <x:c r="A78" t="str">
        <x:v>SO-2025-1077</x:v>
      </x:c>
      <x:c r="B78" s="10" t="n">
        <x:v>45861</x:v>
      </x:c>
      <x:c r="C78" t="str">
        <x:v>Blue Delta Foods</x:v>
      </x:c>
      <x:c r="D78" t="str">
        <x:v>West</x:v>
      </x:c>
      <x:c r="E78" t="str">
        <x:v>Pump Assembly A</x:v>
      </x:c>
      <x:c r="F78" s="12" t="n">
        <x:v>7</x:v>
      </x:c>
      <x:c r="G78" s="11" t="n">
        <x:v>4860</x:v>
      </x:c>
      <x:c r="H78" s="11" t="n">
        <x:v>34020</x:v>
      </x:c>
      <x:c r="I78" s="11" t="n">
        <x:v>24045</x:v>
      </x:c>
      <x:c r="J78" s="11" t="n">
        <x:v>9975</x:v>
      </x:c>
      <x:c r="K78" t="str">
        <x:v>Yousef</x:v>
      </x:c>
      <x:c r="L78" s="12" t="n">
        <x:v>30</x:v>
      </x:c>
      <x:c r="M78" t="str">
        <x:v>Paid</x:v>
      </x:c>
    </x:row>
    <x:row r="79">
      <x:c r="A79" t="str">
        <x:v>SO-2025-1078</x:v>
      </x:c>
      <x:c r="B79" s="10" t="n">
        <x:v>45830</x:v>
      </x:c>
      <x:c r="C79" t="str">
        <x:v>Mediterranean Pumps</x:v>
      </x:c>
      <x:c r="D79" t="str">
        <x:v>East</x:v>
      </x:c>
      <x:c r="E79" t="str">
        <x:v>Control Panel Z</x:v>
      </x:c>
      <x:c r="F79" s="12" t="n">
        <x:v>6</x:v>
      </x:c>
      <x:c r="G79" s="11" t="n">
        <x:v>4080</x:v>
      </x:c>
      <x:c r="H79" s="11" t="n">
        <x:v>24480</x:v>
      </x:c>
      <x:c r="I79" s="11" t="n">
        <x:v>17010</x:v>
      </x:c>
      <x:c r="J79" s="11" t="n">
        <x:v>7470</x:v>
      </x:c>
      <x:c r="K79" t="str">
        <x:v>Fathi</x:v>
      </x:c>
      <x:c r="L79" s="12" t="n">
        <x:v>60</x:v>
      </x:c>
      <x:c r="M79" t="str">
        <x:v>Pending</x:v>
      </x:c>
    </x:row>
    <x:row r="80">
      <x:c r="A80" t="str">
        <x:v>SO-2025-1079</x:v>
      </x:c>
      <x:c r="B80" s="10" t="n">
        <x:v>45782</x:v>
      </x:c>
      <x:c r="C80" t="str">
        <x:v>Green Valley Group</x:v>
      </x:c>
      <x:c r="D80" t="str">
        <x:v>West</x:v>
      </x:c>
      <x:c r="E80" t="str">
        <x:v>Control Panel Z</x:v>
      </x:c>
      <x:c r="F80" s="12" t="n">
        <x:v>3</x:v>
      </x:c>
      <x:c r="G80" s="11" t="n">
        <x:v>4310</x:v>
      </x:c>
      <x:c r="H80" s="11" t="n">
        <x:v>12930</x:v>
      </x:c>
      <x:c r="I80" s="11" t="n">
        <x:v>8730</x:v>
      </x:c>
      <x:c r="J80" s="11" t="n">
        <x:v>4200</x:v>
      </x:c>
      <x:c r="K80" t="str">
        <x:v>Rania</x:v>
      </x:c>
      <x:c r="L80" s="12" t="n">
        <x:v>45</x:v>
      </x:c>
      <x:c r="M80" t="str">
        <x:v>Paid</x:v>
      </x:c>
    </x:row>
    <x:row r="81">
      <x:c r="A81" t="str">
        <x:v>SO-2025-1080</x:v>
      </x:c>
      <x:c r="B81" s="10" t="n">
        <x:v>45767</x:v>
      </x:c>
      <x:c r="C81" t="str">
        <x:v>Al Noor Industrial</x:v>
      </x:c>
      <x:c r="D81" t="str">
        <x:v>West</x:v>
      </x:c>
      <x:c r="E81" t="str">
        <x:v>Seal Kit</x:v>
      </x:c>
      <x:c r="F81" s="12" t="n">
        <x:v>47</x:v>
      </x:c>
      <x:c r="G81" s="11" t="n">
        <x:v>180</x:v>
      </x:c>
      <x:c r="H81" s="11" t="n">
        <x:v>8460</x:v>
      </x:c>
      <x:c r="I81" s="11" t="n">
        <x:v>7755</x:v>
      </x:c>
      <x:c r="J81" s="11" t="n">
        <x:v>705</x:v>
      </x:c>
      <x:c r="K81" t="str">
        <x:v>Fathi</x:v>
      </x:c>
      <x:c r="L81" s="12" t="n">
        <x:v>30</x:v>
      </x:c>
      <x:c r="M81" t="str">
        <x:v>Paid</x:v>
      </x:c>
    </x:row>
    <x:row r="82">
      <x:c r="A82" t="str">
        <x:v>SO-2025-1081</x:v>
      </x:c>
      <x:c r="B82" s="10" t="n">
        <x:v>45930</x:v>
      </x:c>
      <x:c r="C82" t="str">
        <x:v>Misrata Energy</x:v>
      </x:c>
      <x:c r="D82" t="str">
        <x:v>West</x:v>
      </x:c>
      <x:c r="E82" t="str">
        <x:v>Motor Coupling</x:v>
      </x:c>
      <x:c r="F82" s="12" t="n">
        <x:v>22</x:v>
      </x:c>
      <x:c r="G82" s="11" t="n">
        <x:v>350</x:v>
      </x:c>
      <x:c r="H82" s="11" t="n">
        <x:v>7700</x:v>
      </x:c>
      <x:c r="I82" s="11" t="n">
        <x:v>4950</x:v>
      </x:c>
      <x:c r="J82" s="11" t="n">
        <x:v>2750</x:v>
      </x:c>
      <x:c r="K82" t="str">
        <x:v>Rania</x:v>
      </x:c>
      <x:c r="L82" s="12" t="n">
        <x:v>30</x:v>
      </x:c>
      <x:c r="M82" t="str">
        <x:v>Paid</x:v>
      </x:c>
    </x:row>
    <x:row r="83">
      <x:c r="A83" t="str">
        <x:v>SO-2026-1082</x:v>
      </x:c>
      <x:c r="B83" s="10" t="n">
        <x:v>46106</x:v>
      </x:c>
      <x:c r="C83" t="str">
        <x:v>Atlas Oil Services</x:v>
      </x:c>
      <x:c r="D83" t="str">
        <x:v>West</x:v>
      </x:c>
      <x:c r="E83" t="str">
        <x:v>Control Panel X</x:v>
      </x:c>
      <x:c r="F83" s="12" t="n">
        <x:v>20</x:v>
      </x:c>
      <x:c r="G83" s="11" t="n">
        <x:v>3160</x:v>
      </x:c>
      <x:c r="H83" s="11" t="n">
        <x:v>63200</x:v>
      </x:c>
      <x:c r="I83" s="11" t="n">
        <x:v>41700</x:v>
      </x:c>
      <x:c r="J83" s="11" t="n">
        <x:v>21500</x:v>
      </x:c>
      <x:c r="K83" t="str">
        <x:v>Omar</x:v>
      </x:c>
      <x:c r="L83" s="12" t="n">
        <x:v>15</x:v>
      </x:c>
      <x:c r="M83" t="str">
        <x:v>Paid</x:v>
      </x:c>
    </x:row>
    <x:row r="84">
      <x:c r="A84" t="str">
        <x:v>SO-2026-1083</x:v>
      </x:c>
      <x:c r="B84" s="10" t="n">
        <x:v>46082</x:v>
      </x:c>
      <x:c r="C84" t="str">
        <x:v>Tripoli Utilities</x:v>
      </x:c>
      <x:c r="D84" t="str">
        <x:v>Export</x:v>
      </x:c>
      <x:c r="E84" t="str">
        <x:v>Sensor Pack</x:v>
      </x:c>
      <x:c r="F84" s="12" t="n">
        <x:v>14</x:v>
      </x:c>
      <x:c r="G84" s="11" t="n">
        <x:v>390</x:v>
      </x:c>
      <x:c r="H84" s="11" t="n">
        <x:v>5460</x:v>
      </x:c>
      <x:c r="I84" s="11" t="n">
        <x:v>3640</x:v>
      </x:c>
      <x:c r="J84" s="11" t="n">
        <x:v>1820</x:v>
      </x:c>
      <x:c r="K84" t="str">
        <x:v>Salma</x:v>
      </x:c>
      <x:c r="L84" s="12" t="n">
        <x:v>30</x:v>
      </x:c>
      <x:c r="M84" t="str">
        <x:v>Paid</x:v>
      </x:c>
    </x:row>
    <x:row r="85">
      <x:c r="A85" t="str">
        <x:v>SO-2025-1084</x:v>
      </x:c>
      <x:c r="B85" s="10" t="n">
        <x:v>46009</x:v>
      </x:c>
      <x:c r="C85" t="str">
        <x:v>Blue Delta Foods</x:v>
      </x:c>
      <x:c r="D85" t="str">
        <x:v>Export</x:v>
      </x:c>
      <x:c r="E85" t="str">
        <x:v>Seal Kit</x:v>
      </x:c>
      <x:c r="F85" s="12" t="n">
        <x:v>57</x:v>
      </x:c>
      <x:c r="G85" s="11" t="n">
        <x:v>210</x:v>
      </x:c>
      <x:c r="H85" s="11" t="n">
        <x:v>11970</x:v>
      </x:c>
      <x:c r="I85" s="11" t="n">
        <x:v>285</x:v>
      </x:c>
      <x:c r="J85" s="11" t="n">
        <x:v>11685</x:v>
      </x:c>
      <x:c r="K85" t="str">
        <x:v>Yousef</x:v>
      </x:c>
      <x:c r="L85" s="12" t="n">
        <x:v>15</x:v>
      </x:c>
      <x:c r="M85" t="str">
        <x:v>Pending</x:v>
      </x:c>
    </x:row>
    <x:row r="86">
      <x:c r="A86" t="str">
        <x:v>SO-2025-1085</x:v>
      </x:c>
      <x:c r="B86" s="10" t="n">
        <x:v>45724</x:v>
      </x:c>
      <x:c r="C86" t="str">
        <x:v>Misrata Energy</x:v>
      </x:c>
      <x:c r="D86" t="str">
        <x:v>East</x:v>
      </x:c>
      <x:c r="E86" t="str">
        <x:v>Pump Assembly A</x:v>
      </x:c>
      <x:c r="F86" s="12" t="n">
        <x:v>15</x:v>
      </x:c>
      <x:c r="G86" s="11" t="n">
        <x:v>4800</x:v>
      </x:c>
      <x:c r="H86" s="11" t="n">
        <x:v>72000</x:v>
      </x:c>
      <x:c r="I86" s="11" t="n">
        <x:v>50400</x:v>
      </x:c>
      <x:c r="J86" s="11" t="n">
        <x:v>21600</x:v>
      </x:c>
      <x:c r="K86" t="str">
        <x:v>Fathi</x:v>
      </x:c>
      <x:c r="L86" s="12" t="n">
        <x:v>60</x:v>
      </x:c>
      <x:c r="M86" t="str">
        <x:v>Paid</x:v>
      </x:c>
    </x:row>
    <x:row r="87">
      <x:c r="A87" t="str">
        <x:v>SO-2025-1086</x:v>
      </x:c>
      <x:c r="B87" s="10" t="n">
        <x:v>46017</x:v>
      </x:c>
      <x:c r="C87" t="str">
        <x:v>Blue Delta Foods</x:v>
      </x:c>
      <x:c r="D87" t="str">
        <x:v>West</x:v>
      </x:c>
      <x:c r="E87" t="str">
        <x:v>Control Panel X</x:v>
      </x:c>
      <x:c r="F87" s="12" t="n">
        <x:v>11</x:v>
      </x:c>
      <x:c r="G87" s="11" t="n">
        <x:v>3130</x:v>
      </x:c>
      <x:c r="H87" s="11" t="n">
        <x:v>34430</x:v>
      </x:c>
      <x:c r="I87" s="11" t="n">
        <x:v>22550</x:v>
      </x:c>
      <x:c r="J87" s="11" t="n">
        <x:v>11880</x:v>
      </x:c>
      <x:c r="K87" t="str">
        <x:v>Salma</x:v>
      </x:c>
      <x:c r="L87" s="12" t="n">
        <x:v>60</x:v>
      </x:c>
      <x:c r="M87" t="str">
        <x:v>Pending</x:v>
      </x:c>
    </x:row>
    <x:row r="88">
      <x:c r="A88" t="str">
        <x:v>SO-2025-1087</x:v>
      </x:c>
      <x:c r="B88" s="10" t="n">
        <x:v>45935</x:v>
      </x:c>
      <x:c r="C88" t="str">
        <x:v>North Coast Trading</x:v>
      </x:c>
      <x:c r="D88" t="str">
        <x:v>Export</x:v>
      </x:c>
      <x:c r="E88" t="str">
        <x:v>Pump Assembly B</x:v>
      </x:c>
      <x:c r="F88" s="12" t="n">
        <x:v>8</x:v>
      </x:c>
      <x:c r="G88" s="11" t="n">
        <x:v>6310</x:v>
      </x:c>
      <x:c r="H88" s="11" t="n">
        <x:v>50480</x:v>
      </x:c>
      <x:c r="I88" s="11" t="n">
        <x:v>36080</x:v>
      </x:c>
      <x:c r="J88" s="11" t="n">
        <x:v>14400</x:v>
      </x:c>
      <x:c r="K88" t="str">
        <x:v>Rania</x:v>
      </x:c>
      <x:c r="L88" s="12" t="n">
        <x:v>60</x:v>
      </x:c>
      <x:c r="M88" t="str">
        <x:v>Paid</x:v>
      </x:c>
    </x:row>
    <x:row r="89">
      <x:c r="A89" t="str">
        <x:v>SO-2025-1088</x:v>
      </x:c>
      <x:c r="B89" s="10" t="n">
        <x:v>45786</x:v>
      </x:c>
      <x:c r="C89" t="str">
        <x:v>Atlas Oil Services</x:v>
      </x:c>
      <x:c r="D89" t="str">
        <x:v>Export</x:v>
      </x:c>
      <x:c r="E89" t="str">
        <x:v>Seal Kit</x:v>
      </x:c>
      <x:c r="F89" s="12" t="n">
        <x:v>35</x:v>
      </x:c>
      <x:c r="G89" s="11" t="n">
        <x:v>60</x:v>
      </x:c>
      <x:c r="H89" s="11" t="n">
        <x:v>2100</x:v>
      </x:c>
      <x:c r="I89" s="11" t="n">
        <x:v>175</x:v>
      </x:c>
      <x:c r="J89" s="11" t="n">
        <x:v>1925</x:v>
      </x:c>
      <x:c r="K89" t="str">
        <x:v>Salma</x:v>
      </x:c>
      <x:c r="L89" s="12" t="n">
        <x:v>45</x:v>
      </x:c>
      <x:c r="M89" t="str">
        <x:v>Paid</x:v>
      </x:c>
    </x:row>
    <x:row r="90">
      <x:c r="A90" t="str">
        <x:v>SO-2025-1089</x:v>
      </x:c>
      <x:c r="B90" s="10" t="n">
        <x:v>45991</x:v>
      </x:c>
      <x:c r="C90" t="str">
        <x:v>Al Noor Industrial</x:v>
      </x:c>
      <x:c r="D90" t="str">
        <x:v>West</x:v>
      </x:c>
      <x:c r="E90" t="str">
        <x:v>Pump Assembly B</x:v>
      </x:c>
      <x:c r="F90" s="12" t="n">
        <x:v>9</x:v>
      </x:c>
      <x:c r="G90" s="11" t="n">
        <x:v>6200</x:v>
      </x:c>
      <x:c r="H90" s="11" t="n">
        <x:v>55800</x:v>
      </x:c>
      <x:c r="I90" s="11" t="n">
        <x:v>40590</x:v>
      </x:c>
      <x:c r="J90" s="11" t="n">
        <x:v>15210</x:v>
      </x:c>
      <x:c r="K90" t="str">
        <x:v>Rania</x:v>
      </x:c>
      <x:c r="L90" s="12" t="n">
        <x:v>15</x:v>
      </x:c>
      <x:c r="M90" t="str">
        <x:v>Paid</x:v>
      </x:c>
    </x:row>
    <x:row r="91">
      <x:c r="A91" t="str">
        <x:v>SO-2026-1090</x:v>
      </x:c>
      <x:c r="B91" s="10" t="n">
        <x:v>46027</x:v>
      </x:c>
      <x:c r="C91" t="str">
        <x:v>Al Noor Industrial</x:v>
      </x:c>
      <x:c r="D91" t="str">
        <x:v>West</x:v>
      </x:c>
      <x:c r="E91" t="str">
        <x:v>Control Panel X</x:v>
      </x:c>
      <x:c r="F91" s="12" t="n">
        <x:v>5</x:v>
      </x:c>
      <x:c r="G91" s="11" t="n">
        <x:v>3100</x:v>
      </x:c>
      <x:c r="H91" s="11" t="n">
        <x:v>15500</x:v>
      </x:c>
      <x:c r="I91" s="11" t="n">
        <x:v>10600</x:v>
      </x:c>
      <x:c r="J91" s="11" t="n">
        <x:v>4900</x:v>
      </x:c>
      <x:c r="K91" t="str">
        <x:v>Omar</x:v>
      </x:c>
      <x:c r="L91" s="12" t="n">
        <x:v>30</x:v>
      </x:c>
      <x:c r="M91" t="str">
        <x:v>Paid</x:v>
      </x:c>
    </x:row>
    <x:row r="92">
      <x:c r="A92" t="str">
        <x:v>SO-2025-1091</x:v>
      </x:c>
      <x:c r="B92" s="10" t="n">
        <x:v>45762</x:v>
      </x:c>
      <x:c r="C92" t="str">
        <x:v>North Coast Trading</x:v>
      </x:c>
      <x:c r="D92" t="str">
        <x:v>South</x:v>
      </x:c>
      <x:c r="E92" t="str">
        <x:v>Pump Assembly B</x:v>
      </x:c>
      <x:c r="F92" s="12" t="n">
        <x:v>10</x:v>
      </x:c>
      <x:c r="G92" s="11" t="n">
        <x:v>6140</x:v>
      </x:c>
      <x:c r="H92" s="11" t="n">
        <x:v>61400</x:v>
      </x:c>
      <x:c r="I92" s="11" t="n">
        <x:v>45500</x:v>
      </x:c>
      <x:c r="J92" s="11" t="n">
        <x:v>15900</x:v>
      </x:c>
      <x:c r="K92" t="str">
        <x:v>Fathi</x:v>
      </x:c>
      <x:c r="L92" s="12" t="n">
        <x:v>15</x:v>
      </x:c>
      <x:c r="M92" t="str">
        <x:v>Paid</x:v>
      </x:c>
    </x:row>
    <x:row r="93">
      <x:c r="A93" t="str">
        <x:v>SO-2025-1092</x:v>
      </x:c>
      <x:c r="B93" s="10" t="n">
        <x:v>45913</x:v>
      </x:c>
      <x:c r="C93" t="str">
        <x:v>Desert Build Co.</x:v>
      </x:c>
      <x:c r="D93" t="str">
        <x:v>West</x:v>
      </x:c>
      <x:c r="E93" t="str">
        <x:v>Pump Assembly B</x:v>
      </x:c>
      <x:c r="F93" s="12" t="n">
        <x:v>9</x:v>
      </x:c>
      <x:c r="G93" s="11" t="n">
        <x:v>6310</x:v>
      </x:c>
      <x:c r="H93" s="11" t="n">
        <x:v>56790</x:v>
      </x:c>
      <x:c r="I93" s="11" t="n">
        <x:v>40140</x:v>
      </x:c>
      <x:c r="J93" s="11" t="n">
        <x:v>16650</x:v>
      </x:c>
      <x:c r="K93" t="str">
        <x:v>Yousef</x:v>
      </x:c>
      <x:c r="L93" s="12" t="n">
        <x:v>30</x:v>
      </x:c>
      <x:c r="M93" t="str">
        <x:v>Paid</x:v>
      </x:c>
    </x:row>
    <x:row r="94">
      <x:c r="A94" t="str">
        <x:v>SO-2025-1093</x:v>
      </x:c>
      <x:c r="B94" s="10" t="n">
        <x:v>45687</x:v>
      </x:c>
      <x:c r="C94" t="str">
        <x:v>Misrata Energy</x:v>
      </x:c>
      <x:c r="D94" t="str">
        <x:v>West</x:v>
      </x:c>
      <x:c r="E94" t="str">
        <x:v>Control Panel Z</x:v>
      </x:c>
      <x:c r="F94" s="12" t="n">
        <x:v>9</x:v>
      </x:c>
      <x:c r="G94" s="11" t="n">
        <x:v>4080</x:v>
      </x:c>
      <x:c r="H94" s="11" t="n">
        <x:v>36720</x:v>
      </x:c>
      <x:c r="I94" s="11" t="n">
        <x:v>25065</x:v>
      </x:c>
      <x:c r="J94" s="11" t="n">
        <x:v>11655</x:v>
      </x:c>
      <x:c r="K94" t="str">
        <x:v>Salma</x:v>
      </x:c>
      <x:c r="L94" s="12" t="n">
        <x:v>45</x:v>
      </x:c>
      <x:c r="M94" t="str">
        <x:v>Paid</x:v>
      </x:c>
    </x:row>
    <x:row r="95">
      <x:c r="A95" t="str">
        <x:v>SO-2026-1094</x:v>
      </x:c>
      <x:c r="B95" s="10" t="n">
        <x:v>46024</x:v>
      </x:c>
      <x:c r="C95" t="str">
        <x:v>Green Valley Group</x:v>
      </x:c>
      <x:c r="D95" t="str">
        <x:v>South</x:v>
      </x:c>
      <x:c r="E95" t="str">
        <x:v>Sensor Pack</x:v>
      </x:c>
      <x:c r="F95" s="12" t="n">
        <x:v>12</x:v>
      </x:c>
      <x:c r="G95" s="11" t="n">
        <x:v>510</x:v>
      </x:c>
      <x:c r="H95" s="11" t="n">
        <x:v>6120</x:v>
      </x:c>
      <x:c r="I95" s="11" t="n">
        <x:v>3120</x:v>
      </x:c>
      <x:c r="J95" s="11" t="n">
        <x:v>3000</x:v>
      </x:c>
      <x:c r="K95" t="str">
        <x:v>Salma</x:v>
      </x:c>
      <x:c r="L95" s="12" t="n">
        <x:v>75</x:v>
      </x:c>
      <x:c r="M95" t="str">
        <x:v>Paid</x:v>
      </x:c>
    </x:row>
    <x:row r="96">
      <x:c r="A96" t="str">
        <x:v>SO-2026-1095</x:v>
      </x:c>
      <x:c r="B96" s="10" t="n">
        <x:v>46042</x:v>
      </x:c>
      <x:c r="C96" t="str">
        <x:v>Mediterranean Pumps</x:v>
      </x:c>
      <x:c r="D96" t="str">
        <x:v>West</x:v>
      </x:c>
      <x:c r="E96" t="str">
        <x:v>Seal Kit</x:v>
      </x:c>
      <x:c r="F96" s="12" t="n">
        <x:v>40</x:v>
      </x:c>
      <x:c r="G96" s="11" t="n">
        <x:v>180</x:v>
      </x:c>
      <x:c r="H96" s="11" t="n">
        <x:v>7200</x:v>
      </x:c>
      <x:c r="I96" s="11" t="n">
        <x:v>3800</x:v>
      </x:c>
      <x:c r="J96" s="11" t="n">
        <x:v>3400</x:v>
      </x:c>
      <x:c r="K96" t="str">
        <x:v>Rania</x:v>
      </x:c>
      <x:c r="L96" s="12" t="n">
        <x:v>30</x:v>
      </x:c>
      <x:c r="M96" t="str">
        <x:v>Pending</x:v>
      </x:c>
    </x:row>
    <x:row r="97">
      <x:c r="A97" t="str">
        <x:v>SO-2025-1096</x:v>
      </x:c>
      <x:c r="B97" s="10" t="n">
        <x:v>45700</x:v>
      </x:c>
      <x:c r="C97" t="str">
        <x:v>North Coast Trading</x:v>
      </x:c>
      <x:c r="D97" t="str">
        <x:v>West</x:v>
      </x:c>
      <x:c r="E97" t="str">
        <x:v>Control Panel X</x:v>
      </x:c>
      <x:c r="F97" s="12" t="n">
        <x:v>8</x:v>
      </x:c>
      <x:c r="G97" s="11" t="n">
        <x:v>3160</x:v>
      </x:c>
      <x:c r="H97" s="11" t="n">
        <x:v>25280</x:v>
      </x:c>
      <x:c r="I97" s="11" t="n">
        <x:v>16080</x:v>
      </x:c>
      <x:c r="J97" s="11" t="n">
        <x:v>9200</x:v>
      </x:c>
      <x:c r="K97" t="str">
        <x:v>Rania</x:v>
      </x:c>
      <x:c r="L97" s="12" t="n">
        <x:v>30</x:v>
      </x:c>
      <x:c r="M97" t="str">
        <x:v>Paid</x:v>
      </x:c>
    </x:row>
    <x:row r="98">
      <x:c r="A98" t="str">
        <x:v>SO-2025-1097</x:v>
      </x:c>
      <x:c r="B98" s="10" t="n">
        <x:v>45818</x:v>
      </x:c>
      <x:c r="C98" t="str">
        <x:v>Al Noor Industrial</x:v>
      </x:c>
      <x:c r="D98" t="str">
        <x:v>West</x:v>
      </x:c>
      <x:c r="E98" t="str">
        <x:v>Seal Kit</x:v>
      </x:c>
      <x:c r="F98" s="12" t="n">
        <x:v>28</x:v>
      </x:c>
      <x:c r="G98" s="11" t="n">
        <x:v>180</x:v>
      </x:c>
      <x:c r="H98" s="11" t="n">
        <x:v>5040</x:v>
      </x:c>
      <x:c r="I98" s="11" t="n">
        <x:v>4620</x:v>
      </x:c>
      <x:c r="J98" s="11" t="n">
        <x:v>420</x:v>
      </x:c>
      <x:c r="K98" t="str">
        <x:v>Rania</x:v>
      </x:c>
      <x:c r="L98" s="12" t="n">
        <x:v>30</x:v>
      </x:c>
      <x:c r="M98" t="str">
        <x:v>Paid</x:v>
      </x:c>
    </x:row>
    <x:row r="99">
      <x:c r="A99" t="str">
        <x:v>SO-2026-1098</x:v>
      </x:c>
      <x:c r="B99" s="10" t="n">
        <x:v>46037</x:v>
      </x:c>
      <x:c r="C99" t="str">
        <x:v>Mediterranean Pumps</x:v>
      </x:c>
      <x:c r="D99" t="str">
        <x:v>West</x:v>
      </x:c>
      <x:c r="E99" t="str">
        <x:v>Control Panel X</x:v>
      </x:c>
      <x:c r="F99" s="12" t="n">
        <x:v>17</x:v>
      </x:c>
      <x:c r="G99" s="11" t="n">
        <x:v>2980</x:v>
      </x:c>
      <x:c r="H99" s="11" t="n">
        <x:v>50660</x:v>
      </x:c>
      <x:c r="I99" s="11" t="n">
        <x:v>35445</x:v>
      </x:c>
      <x:c r="J99" s="11" t="n">
        <x:v>15215</x:v>
      </x:c>
      <x:c r="K99" t="str">
        <x:v>Omar</x:v>
      </x:c>
      <x:c r="L99" s="12" t="n">
        <x:v>45</x:v>
      </x:c>
      <x:c r="M99" t="str">
        <x:v>Pending</x:v>
      </x:c>
    </x:row>
    <x:row r="100">
      <x:c r="A100" t="str">
        <x:v>SO-2025-1099</x:v>
      </x:c>
      <x:c r="B100" s="10" t="n">
        <x:v>45691</x:v>
      </x:c>
      <x:c r="C100" t="str">
        <x:v>North Coast Trading</x:v>
      </x:c>
      <x:c r="D100" t="str">
        <x:v>West</x:v>
      </x:c>
      <x:c r="E100" t="str">
        <x:v>Pump Assembly A</x:v>
      </x:c>
      <x:c r="F100" s="12" t="n">
        <x:v>13</x:v>
      </x:c>
      <x:c r="G100" s="11" t="n">
        <x:v>4800</x:v>
      </x:c>
      <x:c r="H100" s="11" t="n">
        <x:v>62400</x:v>
      </x:c>
      <x:c r="I100" s="11" t="n">
        <x:v>44200</x:v>
      </x:c>
      <x:c r="J100" s="11" t="n">
        <x:v>18200</x:v>
      </x:c>
      <x:c r="K100" t="str">
        <x:v>Fathi</x:v>
      </x:c>
      <x:c r="L100" s="12" t="n">
        <x:v>30</x:v>
      </x:c>
      <x:c r="M100" t="str">
        <x:v>Paid</x:v>
      </x:c>
    </x:row>
    <x:row r="101">
      <x:c r="A101" t="str">
        <x:v>SO-2025-1100</x:v>
      </x:c>
      <x:c r="B101" s="10" t="n">
        <x:v>45975</x:v>
      </x:c>
      <x:c r="C101" t="str">
        <x:v>Atlas Oil Services</x:v>
      </x:c>
      <x:c r="D101" t="str">
        <x:v>West</x:v>
      </x:c>
      <x:c r="E101" t="str">
        <x:v>Seal Kit</x:v>
      </x:c>
      <x:c r="F101" s="12" t="n">
        <x:v>36</x:v>
      </x:c>
      <x:c r="G101" s="11" t="n">
        <x:v>180</x:v>
      </x:c>
      <x:c r="H101" s="11" t="n">
        <x:v>6480</x:v>
      </x:c>
      <x:c r="I101" s="11" t="n">
        <x:v>3420</x:v>
      </x:c>
      <x:c r="J101" s="11" t="n">
        <x:v>3060</x:v>
      </x:c>
      <x:c r="K101" t="str">
        <x:v>Omar</x:v>
      </x:c>
      <x:c r="L101" s="12" t="n">
        <x:v>75</x:v>
      </x:c>
      <x:c r="M101" t="str">
        <x:v>Paid</x:v>
      </x:c>
    </x:row>
    <x:row r="102">
      <x:c r="A102" t="str">
        <x:v>SO-2026-1101</x:v>
      </x:c>
      <x:c r="B102" s="10" t="n">
        <x:v>46072</x:v>
      </x:c>
      <x:c r="C102" t="str">
        <x:v>Blue Delta Foods</x:v>
      </x:c>
      <x:c r="D102" t="str">
        <x:v>West</x:v>
      </x:c>
      <x:c r="E102" t="str">
        <x:v>Pump Assembly B</x:v>
      </x:c>
      <x:c r="F102" s="12" t="n">
        <x:v>10</x:v>
      </x:c>
      <x:c r="G102" s="11" t="n">
        <x:v>6310</x:v>
      </x:c>
      <x:c r="H102" s="11" t="n">
        <x:v>63100</x:v>
      </x:c>
      <x:c r="I102" s="11" t="n">
        <x:v>45850</x:v>
      </x:c>
      <x:c r="J102" s="11" t="n">
        <x:v>17250</x:v>
      </x:c>
      <x:c r="K102" t="str">
        <x:v>Rania</x:v>
      </x:c>
      <x:c r="L102" s="12" t="n">
        <x:v>30</x:v>
      </x:c>
      <x:c r="M102" t="str">
        <x:v>Paid</x:v>
      </x:c>
    </x:row>
    <x:row r="103">
      <x:c r="A103" t="str">
        <x:v>SO-2026-1102</x:v>
      </x:c>
      <x:c r="B103" s="10" t="n">
        <x:v>46077</x:v>
      </x:c>
      <x:c r="C103" t="str">
        <x:v>Mediterranean Pumps</x:v>
      </x:c>
      <x:c r="D103" t="str">
        <x:v>West</x:v>
      </x:c>
      <x:c r="E103" t="str">
        <x:v>Control Panel X</x:v>
      </x:c>
      <x:c r="F103" s="12" t="n">
        <x:v>5</x:v>
      </x:c>
      <x:c r="G103" s="11" t="n">
        <x:v>3210</x:v>
      </x:c>
      <x:c r="H103" s="11" t="n">
        <x:v>16050</x:v>
      </x:c>
      <x:c r="I103" s="11" t="n">
        <x:v>10250</x:v>
      </x:c>
      <x:c r="J103" s="11" t="n">
        <x:v>5800</x:v>
      </x:c>
      <x:c r="K103" t="str">
        <x:v>Salma</x:v>
      </x:c>
      <x:c r="L103" s="12" t="n">
        <x:v>60</x:v>
      </x:c>
      <x:c r="M103" t="str">
        <x:v>Paid</x:v>
      </x:c>
    </x:row>
    <x:row r="104">
      <x:c r="A104" t="str">
        <x:v>SO-2026-1103</x:v>
      </x:c>
      <x:c r="B104" s="10" t="n">
        <x:v>46100</x:v>
      </x:c>
      <x:c r="C104" t="str">
        <x:v>Green Valley Group</x:v>
      </x:c>
      <x:c r="D104" t="str">
        <x:v>East</x:v>
      </x:c>
      <x:c r="E104" t="str">
        <x:v>Seal Kit</x:v>
      </x:c>
      <x:c r="F104" s="12" t="n">
        <x:v>54</x:v>
      </x:c>
      <x:c r="G104" s="11" t="n">
        <x:v>60</x:v>
      </x:c>
      <x:c r="H104" s="11" t="n">
        <x:v>3240</x:v>
      </x:c>
      <x:c r="I104" s="11" t="n">
        <x:v>8910</x:v>
      </x:c>
      <x:c r="J104" s="11" t="n">
        <x:v>-5670</x:v>
      </x:c>
      <x:c r="K104" t="str">
        <x:v>Salma</x:v>
      </x:c>
      <x:c r="L104" s="12" t="n">
        <x:v>45</x:v>
      </x:c>
      <x:c r="M104" t="str">
        <x:v>Paid</x:v>
      </x:c>
    </x:row>
    <x:row r="105">
      <x:c r="A105" t="str">
        <x:v>SO-2025-1104</x:v>
      </x:c>
      <x:c r="B105" s="10" t="n">
        <x:v>45786</x:v>
      </x:c>
      <x:c r="C105" t="str">
        <x:v>Al Noor Industrial</x:v>
      </x:c>
      <x:c r="D105" t="str">
        <x:v>West</x:v>
      </x:c>
      <x:c r="E105" t="str">
        <x:v>Pump Assembly A</x:v>
      </x:c>
      <x:c r="F105" s="12" t="n">
        <x:v>12</x:v>
      </x:c>
      <x:c r="G105" s="11" t="n">
        <x:v>4860</x:v>
      </x:c>
      <x:c r="H105" s="11" t="n">
        <x:v>58320</x:v>
      </x:c>
      <x:c r="I105" s="11" t="n">
        <x:v>40800</x:v>
      </x:c>
      <x:c r="J105" s="11" t="n">
        <x:v>17520</x:v>
      </x:c>
      <x:c r="K105" t="str">
        <x:v>Salma</x:v>
      </x:c>
      <x:c r="L105" s="12" t="n">
        <x:v>45</x:v>
      </x:c>
      <x:c r="M105" t="str">
        <x:v>Paid</x:v>
      </x:c>
    </x:row>
    <x:row r="106">
      <x:c r="A106" t="str">
        <x:v>SO-2025-1105</x:v>
      </x:c>
      <x:c r="B106" s="10" t="n">
        <x:v>45696</x:v>
      </x:c>
      <x:c r="C106" t="str">
        <x:v>North Coast Trading</x:v>
      </x:c>
      <x:c r="D106" t="str">
        <x:v>East</x:v>
      </x:c>
      <x:c r="E106" t="str">
        <x:v>Pump Assembly B</x:v>
      </x:c>
      <x:c r="F106" s="12" t="n">
        <x:v>9</x:v>
      </x:c>
      <x:c r="G106" s="11" t="n">
        <x:v>6230</x:v>
      </x:c>
      <x:c r="H106" s="11" t="n">
        <x:v>56070</x:v>
      </x:c>
      <x:c r="I106" s="11" t="n">
        <x:v>41265</x:v>
      </x:c>
      <x:c r="J106" s="11" t="n">
        <x:v>14805</x:v>
      </x:c>
      <x:c r="K106" t="str">
        <x:v>Salma</x:v>
      </x:c>
      <x:c r="L106" s="12" t="n">
        <x:v>30</x:v>
      </x:c>
      <x:c r="M106" t="str">
        <x:v>Pending</x:v>
      </x:c>
    </x:row>
    <x:row r="107">
      <x:c r="A107" t="str">
        <x:v>SO-2025-1106</x:v>
      </x:c>
      <x:c r="B107" s="10" t="n">
        <x:v>45895</x:v>
      </x:c>
      <x:c r="C107" t="str">
        <x:v>Desert Build Co.</x:v>
      </x:c>
      <x:c r="D107" t="str">
        <x:v>Export</x:v>
      </x:c>
      <x:c r="E107" t="str">
        <x:v>Pump Assembly B</x:v>
      </x:c>
      <x:c r="F107" s="12" t="n">
        <x:v>11</x:v>
      </x:c>
      <x:c r="G107" s="11" t="n">
        <x:v>6310</x:v>
      </x:c>
      <x:c r="H107" s="11" t="n">
        <x:v>69410</x:v>
      </x:c>
      <x:c r="I107" s="11" t="n">
        <x:v>49060</x:v>
      </x:c>
      <x:c r="J107" s="11" t="n">
        <x:v>20350</x:v>
      </x:c>
      <x:c r="K107" t="str">
        <x:v>Fathi</x:v>
      </x:c>
      <x:c r="L107" s="12" t="n">
        <x:v>30</x:v>
      </x:c>
      <x:c r="M107" t="str">
        <x:v>Paid</x:v>
      </x:c>
    </x:row>
    <x:row r="108">
      <x:c r="A108" t="str">
        <x:v>SO-2025-1107</x:v>
      </x:c>
      <x:c r="B108" s="10" t="n">
        <x:v>45797</x:v>
      </x:c>
      <x:c r="C108" t="str">
        <x:v>Green Valley Group</x:v>
      </x:c>
      <x:c r="D108" t="str">
        <x:v>West</x:v>
      </x:c>
      <x:c r="E108" t="str">
        <x:v>Pump Assembly B</x:v>
      </x:c>
      <x:c r="F108" s="12" t="n">
        <x:v>10</x:v>
      </x:c>
      <x:c r="G108" s="11" t="n">
        <x:v>6140</x:v>
      </x:c>
      <x:c r="H108" s="11" t="n">
        <x:v>61400</x:v>
      </x:c>
      <x:c r="I108" s="11" t="n">
        <x:v>45100</x:v>
      </x:c>
      <x:c r="J108" s="11" t="n">
        <x:v>16300</x:v>
      </x:c>
      <x:c r="K108" t="str">
        <x:v>Salma</x:v>
      </x:c>
      <x:c r="L108" s="12" t="n">
        <x:v>30</x:v>
      </x:c>
      <x:c r="M108" t="str">
        <x:v>Pending</x:v>
      </x:c>
    </x:row>
    <x:row r="109">
      <x:c r="A109" t="str">
        <x:v>SO-2025-1108</x:v>
      </x:c>
      <x:c r="B109" s="10" t="n">
        <x:v>45956</x:v>
      </x:c>
      <x:c r="C109" t="str">
        <x:v>Misrata Energy</x:v>
      </x:c>
      <x:c r="D109" t="str">
        <x:v>West</x:v>
      </x:c>
      <x:c r="E109" t="str">
        <x:v>Control Panel X</x:v>
      </x:c>
      <x:c r="F109" s="12" t="n">
        <x:v>12</x:v>
      </x:c>
      <x:c r="G109" s="11" t="n">
        <x:v>3160</x:v>
      </x:c>
      <x:c r="H109" s="11" t="n">
        <x:v>37920</x:v>
      </x:c>
      <x:c r="I109" s="11" t="n">
        <x:v>25440</x:v>
      </x:c>
      <x:c r="J109" s="11" t="n">
        <x:v>12480</x:v>
      </x:c>
      <x:c r="K109" t="str">
        <x:v>Salma</x:v>
      </x:c>
      <x:c r="L109" s="12" t="n">
        <x:v>75</x:v>
      </x:c>
      <x:c r="M109" t="str">
        <x:v>Paid</x:v>
      </x:c>
    </x:row>
    <x:row r="110">
      <x:c r="A110" t="str">
        <x:v>SO-2025-1109</x:v>
      </x:c>
      <x:c r="B110" s="10" t="n">
        <x:v>45994</x:v>
      </x:c>
      <x:c r="C110" t="str">
        <x:v>Mediterranean Pumps</x:v>
      </x:c>
      <x:c r="D110" t="str">
        <x:v>Export</x:v>
      </x:c>
      <x:c r="E110" t="str">
        <x:v>Pump Assembly A</x:v>
      </x:c>
      <x:c r="F110" s="12" t="n">
        <x:v>11</x:v>
      </x:c>
      <x:c r="G110" s="11" t="n">
        <x:v>4740</x:v>
      </x:c>
      <x:c r="H110" s="11" t="n">
        <x:v>52140</x:v>
      </x:c>
      <x:c r="I110" s="11" t="n">
        <x:v>37785</x:v>
      </x:c>
      <x:c r="J110" s="11" t="n">
        <x:v>14355</x:v>
      </x:c>
      <x:c r="K110" t="str">
        <x:v>Fathi</x:v>
      </x:c>
      <x:c r="L110" s="12" t="n">
        <x:v>15</x:v>
      </x:c>
      <x:c r="M110" t="str">
        <x:v>Paid</x:v>
      </x:c>
    </x:row>
    <x:row r="111">
      <x:c r="A111" t="str">
        <x:v>SO-2025-1110</x:v>
      </x:c>
      <x:c r="B111" s="10" t="n">
        <x:v>45779</x:v>
      </x:c>
      <x:c r="C111" t="str">
        <x:v>Blue Delta Foods</x:v>
      </x:c>
      <x:c r="D111" t="str">
        <x:v>West</x:v>
      </x:c>
      <x:c r="E111" t="str">
        <x:v>Control Panel Z</x:v>
      </x:c>
      <x:c r="F111" s="12" t="n">
        <x:v>6</x:v>
      </x:c>
      <x:c r="G111" s="11" t="n">
        <x:v>4080</x:v>
      </x:c>
      <x:c r="H111" s="11" t="n">
        <x:v>24480</x:v>
      </x:c>
      <x:c r="I111" s="11" t="n">
        <x:v>17250</x:v>
      </x:c>
      <x:c r="J111" s="11" t="n">
        <x:v>7230</x:v>
      </x:c>
      <x:c r="K111" t="str">
        <x:v>Yousef</x:v>
      </x:c>
      <x:c r="L111" s="12" t="n">
        <x:v>30</x:v>
      </x:c>
      <x:c r="M111" t="str">
        <x:v>Paid</x:v>
      </x:c>
    </x:row>
    <x:row r="112">
      <x:c r="A112" t="str">
        <x:v>SO-2025-1111</x:v>
      </x:c>
      <x:c r="B112" s="10" t="n">
        <x:v>45793</x:v>
      </x:c>
      <x:c r="C112" t="str">
        <x:v>Atlas Oil Services</x:v>
      </x:c>
      <x:c r="D112" t="str">
        <x:v>West</x:v>
      </x:c>
      <x:c r="E112" t="str">
        <x:v>Control Panel Z</x:v>
      </x:c>
      <x:c r="F112" s="12" t="n">
        <x:v>8</x:v>
      </x:c>
      <x:c r="G112" s="11" t="n">
        <x:v>4140</x:v>
      </x:c>
      <x:c r="H112" s="11" t="n">
        <x:v>33120</x:v>
      </x:c>
      <x:c r="I112" s="11" t="n">
        <x:v>22280</x:v>
      </x:c>
      <x:c r="J112" s="11" t="n">
        <x:v>10840</x:v>
      </x:c>
      <x:c r="K112" t="str">
        <x:v>Fathi</x:v>
      </x:c>
      <x:c r="L112" s="12" t="n">
        <x:v>30</x:v>
      </x:c>
      <x:c r="M112" t="str">
        <x:v>Pending</x:v>
      </x:c>
    </x:row>
    <x:row r="113">
      <x:c r="A113" t="str">
        <x:v>SO-2025-1112</x:v>
      </x:c>
      <x:c r="B113" s="10" t="n">
        <x:v>45764</x:v>
      </x:c>
      <x:c r="C113" t="str">
        <x:v>North Coast Trading</x:v>
      </x:c>
      <x:c r="D113" t="str">
        <x:v>West</x:v>
      </x:c>
      <x:c r="E113" t="str">
        <x:v>Seal Kit</x:v>
      </x:c>
      <x:c r="F113" s="12" t="n">
        <x:v>29</x:v>
      </x:c>
      <x:c r="G113" s="11" t="n">
        <x:v>60</x:v>
      </x:c>
      <x:c r="H113" s="11" t="n">
        <x:v>1740</x:v>
      </x:c>
      <x:c r="I113" s="11" t="n">
        <x:v>2755</x:v>
      </x:c>
      <x:c r="J113" s="11" t="n">
        <x:v>-1015</x:v>
      </x:c>
      <x:c r="K113" t="str">
        <x:v>Rania</x:v>
      </x:c>
      <x:c r="L113" s="12" t="n">
        <x:v>75</x:v>
      </x:c>
      <x:c r="M113" t="str">
        <x:v>Paid</x:v>
      </x:c>
    </x:row>
    <x:row r="114">
      <x:c r="A114" t="str">
        <x:v>SO-2025-1113</x:v>
      </x:c>
      <x:c r="B114" s="10" t="n">
        <x:v>45977</x:v>
      </x:c>
      <x:c r="C114" t="str">
        <x:v>North Coast Trading</x:v>
      </x:c>
      <x:c r="D114" t="str">
        <x:v>West</x:v>
      </x:c>
      <x:c r="E114" t="str">
        <x:v>Pump Assembly A</x:v>
      </x:c>
      <x:c r="F114" s="12" t="n">
        <x:v>11</x:v>
      </x:c>
      <x:c r="G114" s="11" t="n">
        <x:v>4860</x:v>
      </x:c>
      <x:c r="H114" s="11" t="n">
        <x:v>53460</x:v>
      </x:c>
      <x:c r="I114" s="11" t="n">
        <x:v>37785</x:v>
      </x:c>
      <x:c r="J114" s="11" t="n">
        <x:v>15675</x:v>
      </x:c>
      <x:c r="K114" t="str">
        <x:v>Omar</x:v>
      </x:c>
      <x:c r="L114" s="12" t="n">
        <x:v>45</x:v>
      </x:c>
      <x:c r="M114" t="str">
        <x:v>Pending</x:v>
      </x:c>
    </x:row>
    <x:row r="115">
      <x:c r="A115" t="str">
        <x:v>SO-2025-1114</x:v>
      </x:c>
      <x:c r="B115" s="10" t="n">
        <x:v>45862</x:v>
      </x:c>
      <x:c r="C115" t="str">
        <x:v>Tripoli Utilities</x:v>
      </x:c>
      <x:c r="D115" t="str">
        <x:v>West</x:v>
      </x:c>
      <x:c r="E115" t="str">
        <x:v>Control Panel Z</x:v>
      </x:c>
      <x:c r="F115" s="12" t="n">
        <x:v>5</x:v>
      </x:c>
      <x:c r="G115" s="11" t="n">
        <x:v>4230</x:v>
      </x:c>
      <x:c r="H115" s="11" t="n">
        <x:v>21150</x:v>
      </x:c>
      <x:c r="I115" s="11" t="n">
        <x:v>14375</x:v>
      </x:c>
      <x:c r="J115" s="11" t="n">
        <x:v>6775</x:v>
      </x:c>
      <x:c r="K115" t="str">
        <x:v>Rania</x:v>
      </x:c>
      <x:c r="L115" s="12" t="n">
        <x:v>30</x:v>
      </x:c>
      <x:c r="M115" t="str">
        <x:v>Paid</x:v>
      </x:c>
    </x:row>
    <x:row r="116">
      <x:c r="A116" t="str">
        <x:v>SO-2025-1115</x:v>
      </x:c>
      <x:c r="B116" s="10" t="n">
        <x:v>45873</x:v>
      </x:c>
      <x:c r="C116" t="str">
        <x:v>Atlas Oil Services</x:v>
      </x:c>
      <x:c r="D116" t="str">
        <x:v>West</x:v>
      </x:c>
      <x:c r="E116" t="str">
        <x:v>Control Panel Z</x:v>
      </x:c>
      <x:c r="F116" s="12" t="n">
        <x:v>8</x:v>
      </x:c>
      <x:c r="G116" s="11" t="n">
        <x:v>4230</x:v>
      </x:c>
      <x:c r="H116" s="11" t="n">
        <x:v>33840</x:v>
      </x:c>
      <x:c r="I116" s="11" t="n">
        <x:v>23280</x:v>
      </x:c>
      <x:c r="J116" s="11" t="n">
        <x:v>10560</x:v>
      </x:c>
      <x:c r="K116" t="str">
        <x:v>Omar</x:v>
      </x:c>
      <x:c r="L116" s="12" t="n">
        <x:v>30</x:v>
      </x:c>
      <x:c r="M116" t="str">
        <x:v>Paid</x:v>
      </x:c>
    </x:row>
    <x:row r="117">
      <x:c r="A117" t="str">
        <x:v>SO-2025-1116</x:v>
      </x:c>
      <x:c r="B117" s="10" t="n">
        <x:v>45860</x:v>
      </x:c>
      <x:c r="C117" t="str">
        <x:v>Al Noor Industrial</x:v>
      </x:c>
      <x:c r="D117" t="str">
        <x:v>West</x:v>
      </x:c>
      <x:c r="E117" t="str">
        <x:v>Pump Assembly A</x:v>
      </x:c>
      <x:c r="F117" s="12" t="n">
        <x:v>18</x:v>
      </x:c>
      <x:c r="G117" s="11" t="n">
        <x:v>4740</x:v>
      </x:c>
      <x:c r="H117" s="11" t="n">
        <x:v>85320</x:v>
      </x:c>
      <x:c r="I117" s="11" t="n">
        <x:v>61830</x:v>
      </x:c>
      <x:c r="J117" s="11" t="n">
        <x:v>23490</x:v>
      </x:c>
      <x:c r="K117" t="str">
        <x:v>Omar</x:v>
      </x:c>
      <x:c r="L117" s="12" t="n">
        <x:v>15</x:v>
      </x:c>
      <x:c r="M117" t="str">
        <x:v>Paid</x:v>
      </x:c>
    </x:row>
    <x:row r="118">
      <x:c r="A118" t="str">
        <x:v>SO-2025-1117</x:v>
      </x:c>
      <x:c r="B118" s="10" t="n">
        <x:v>45846</x:v>
      </x:c>
      <x:c r="C118" t="str">
        <x:v>Mediterranean Pumps</x:v>
      </x:c>
      <x:c r="D118" t="str">
        <x:v>South</x:v>
      </x:c>
      <x:c r="E118" t="str">
        <x:v>Pump Assembly A</x:v>
      </x:c>
      <x:c r="F118" s="12" t="n">
        <x:v>4</x:v>
      </x:c>
      <x:c r="G118" s="11" t="n">
        <x:v>4860</x:v>
      </x:c>
      <x:c r="H118" s="11" t="n">
        <x:v>19440</x:v>
      </x:c>
      <x:c r="I118" s="11" t="n">
        <x:v>13440</x:v>
      </x:c>
      <x:c r="J118" s="11" t="n">
        <x:v>6000</x:v>
      </x:c>
      <x:c r="K118" t="str">
        <x:v>Rania</x:v>
      </x:c>
      <x:c r="L118" s="12" t="n">
        <x:v>15</x:v>
      </x:c>
      <x:c r="M118" t="str">
        <x:v>Paid</x:v>
      </x:c>
    </x:row>
    <x:row r="119">
      <x:c r="A119" t="str">
        <x:v>SO-2025-1118</x:v>
      </x:c>
      <x:c r="B119" s="10" t="n">
        <x:v>45849</x:v>
      </x:c>
      <x:c r="C119" t="str">
        <x:v>Tripoli Utilities</x:v>
      </x:c>
      <x:c r="D119" t="str">
        <x:v>West</x:v>
      </x:c>
      <x:c r="E119" t="str">
        <x:v>Control Panel X</x:v>
      </x:c>
      <x:c r="F119" s="12" t="n">
        <x:v>10</x:v>
      </x:c>
      <x:c r="G119" s="11" t="n">
        <x:v>3160</x:v>
      </x:c>
      <x:c r="H119" s="11" t="n">
        <x:v>31600</x:v>
      </x:c>
      <x:c r="I119" s="11" t="n">
        <x:v>20100</x:v>
      </x:c>
      <x:c r="J119" s="11" t="n">
        <x:v>11500</x:v>
      </x:c>
      <x:c r="K119" t="str">
        <x:v>Omar</x:v>
      </x:c>
      <x:c r="L119" s="12" t="n">
        <x:v>15</x:v>
      </x:c>
      <x:c r="M119" t="str">
        <x:v>Paid</x:v>
      </x:c>
    </x:row>
    <x:row r="120">
      <x:c r="A120" t="str">
        <x:v>SO-2026-1119</x:v>
      </x:c>
      <x:c r="B120" s="10" t="n">
        <x:v>46045</x:v>
      </x:c>
      <x:c r="C120" t="str">
        <x:v>Misrata Energy</x:v>
      </x:c>
      <x:c r="D120" t="str">
        <x:v>West</x:v>
      </x:c>
      <x:c r="E120" t="str">
        <x:v>Motor Coupling</x:v>
      </x:c>
      <x:c r="F120" s="12" t="n">
        <x:v>11</x:v>
      </x:c>
      <x:c r="G120" s="11" t="n">
        <x:v>350</x:v>
      </x:c>
      <x:c r="H120" s="11" t="n">
        <x:v>3850</x:v>
      </x:c>
      <x:c r="I120" s="11" t="n">
        <x:v>2090</x:v>
      </x:c>
      <x:c r="J120" s="11" t="n">
        <x:v>1760</x:v>
      </x:c>
      <x:c r="K120" t="str">
        <x:v>Omar</x:v>
      </x:c>
      <x:c r="L120" s="12" t="n">
        <x:v>60</x:v>
      </x:c>
      <x:c r="M120" t="str">
        <x:v>Paid</x:v>
      </x:c>
    </x:row>
    <x:row r="121">
      <x:c r="A121" t="str">
        <x:v>SO-2025-1120</x:v>
      </x:c>
      <x:c r="B121" s="10" t="n">
        <x:v>45858</x:v>
      </x:c>
      <x:c r="C121" t="str">
        <x:v>Blue Delta Foods</x:v>
      </x:c>
      <x:c r="D121" t="str">
        <x:v>Export</x:v>
      </x:c>
      <x:c r="E121" t="str">
        <x:v>Seal Kit</x:v>
      </x:c>
      <x:c r="F121" s="12" t="n">
        <x:v>26</x:v>
      </x:c>
      <x:c r="G121" s="11" t="n">
        <x:v>290</x:v>
      </x:c>
      <x:c r="H121" s="11" t="n">
        <x:v>7540</x:v>
      </x:c>
      <x:c r="I121" s="11" t="n">
        <x:v>1430</x:v>
      </x:c>
      <x:c r="J121" s="11" t="n">
        <x:v>6110</x:v>
      </x:c>
      <x:c r="K121" t="str">
        <x:v>Yousef</x:v>
      </x:c>
      <x:c r="L121" s="12" t="n">
        <x:v>45</x:v>
      </x:c>
      <x:c r="M121" t="str">
        <x:v>Paid</x:v>
      </x:c>
    </x:row>
    <x:row r="122">
      <x:c r="A122" t="str">
        <x:v>SO-2025-1121</x:v>
      </x:c>
      <x:c r="B122" s="10" t="n">
        <x:v>45760</x:v>
      </x:c>
      <x:c r="C122" t="str">
        <x:v>Mediterranean Pumps</x:v>
      </x:c>
      <x:c r="D122" t="str">
        <x:v>West</x:v>
      </x:c>
      <x:c r="E122" t="str">
        <x:v>Pump Assembly B</x:v>
      </x:c>
      <x:c r="F122" s="12" t="n">
        <x:v>9</x:v>
      </x:c>
      <x:c r="G122" s="11" t="n">
        <x:v>6260</x:v>
      </x:c>
      <x:c r="H122" s="11" t="n">
        <x:v>56340</x:v>
      </x:c>
      <x:c r="I122" s="11" t="n">
        <x:v>40590</x:v>
      </x:c>
      <x:c r="J122" s="11" t="n">
        <x:v>15750</x:v>
      </x:c>
      <x:c r="K122" t="str">
        <x:v>Rania</x:v>
      </x:c>
      <x:c r="L122" s="12" t="n">
        <x:v>30</x:v>
      </x:c>
      <x:c r="M122" t="str">
        <x:v>Pending</x:v>
      </x:c>
    </x:row>
    <x:row r="123">
      <x:c r="A123" t="str">
        <x:v>SO-2025-1122</x:v>
      </x:c>
      <x:c r="B123" s="10" t="n">
        <x:v>45786</x:v>
      </x:c>
      <x:c r="C123" t="str">
        <x:v>Misrata Energy</x:v>
      </x:c>
      <x:c r="D123" t="str">
        <x:v>West</x:v>
      </x:c>
      <x:c r="E123" t="str">
        <x:v>Control Panel Z</x:v>
      </x:c>
      <x:c r="F123" s="12" t="n">
        <x:v>3</x:v>
      </x:c>
      <x:c r="G123" s="11" t="n">
        <x:v>4310</x:v>
      </x:c>
      <x:c r="H123" s="11" t="n">
        <x:v>12930</x:v>
      </x:c>
      <x:c r="I123" s="11" t="n">
        <x:v>8625</x:v>
      </x:c>
      <x:c r="J123" s="11" t="n">
        <x:v>4305</x:v>
      </x:c>
      <x:c r="K123" t="str">
        <x:v>Omar</x:v>
      </x:c>
      <x:c r="L123" s="12" t="n">
        <x:v>45</x:v>
      </x:c>
      <x:c r="M123" t="str">
        <x:v>Paid</x:v>
      </x:c>
    </x:row>
    <x:row r="124">
      <x:c r="A124" t="str">
        <x:v>SO-2025-1123</x:v>
      </x:c>
      <x:c r="B124" s="10" t="n">
        <x:v>45941</x:v>
      </x:c>
      <x:c r="C124" t="str">
        <x:v>North Coast Trading</x:v>
      </x:c>
      <x:c r="D124" t="str">
        <x:v>East</x:v>
      </x:c>
      <x:c r="E124" t="str">
        <x:v>Control Panel X</x:v>
      </x:c>
      <x:c r="F124" s="12" t="n">
        <x:v>12</x:v>
      </x:c>
      <x:c r="G124" s="11" t="n">
        <x:v>3130</x:v>
      </x:c>
      <x:c r="H124" s="11" t="n">
        <x:v>37560</x:v>
      </x:c>
      <x:c r="I124" s="11" t="n">
        <x:v>25020</x:v>
      </x:c>
      <x:c r="J124" s="11" t="n">
        <x:v>12540</x:v>
      </x:c>
      <x:c r="K124" t="str">
        <x:v>Fathi</x:v>
      </x:c>
      <x:c r="L124" s="12" t="n">
        <x:v>45</x:v>
      </x:c>
      <x:c r="M124" t="str">
        <x:v>Paid</x:v>
      </x:c>
    </x:row>
    <x:row r="125">
      <x:c r="A125" t="str">
        <x:v>SO-2025-1124</x:v>
      </x:c>
      <x:c r="B125" s="10" t="n">
        <x:v>45751</x:v>
      </x:c>
      <x:c r="C125" t="str">
        <x:v>Atlas Oil Services</x:v>
      </x:c>
      <x:c r="D125" t="str">
        <x:v>West</x:v>
      </x:c>
      <x:c r="E125" t="str">
        <x:v>Sensor Pack</x:v>
      </x:c>
      <x:c r="F125" s="12" t="n">
        <x:v>21</x:v>
      </x:c>
      <x:c r="G125" s="11" t="n">
        <x:v>450</x:v>
      </x:c>
      <x:c r="H125" s="11" t="n">
        <x:v>9450</x:v>
      </x:c>
      <x:c r="I125" s="11" t="n">
        <x:v>7035</x:v>
      </x:c>
      <x:c r="J125" s="11" t="n">
        <x:v>2415</x:v>
      </x:c>
      <x:c r="K125" t="str">
        <x:v>Yousef</x:v>
      </x:c>
      <x:c r="L125" s="12" t="n">
        <x:v>45</x:v>
      </x:c>
      <x:c r="M125" t="str">
        <x:v>Paid</x:v>
      </x:c>
    </x:row>
    <x:row r="126">
      <x:c r="A126" t="str">
        <x:v>SO-2026-1125</x:v>
      </x:c>
      <x:c r="B126" s="10" t="n">
        <x:v>46074</x:v>
      </x:c>
      <x:c r="C126" t="str">
        <x:v>Mediterranean Pumps</x:v>
      </x:c>
      <x:c r="D126" t="str">
        <x:v>West</x:v>
      </x:c>
      <x:c r="E126" t="str">
        <x:v>Pump Assembly A</x:v>
      </x:c>
      <x:c r="F126" s="12" t="n">
        <x:v>9</x:v>
      </x:c>
      <x:c r="G126" s="11" t="n">
        <x:v>4830</x:v>
      </x:c>
      <x:c r="H126" s="11" t="n">
        <x:v>43470</x:v>
      </x:c>
      <x:c r="I126" s="11" t="n">
        <x:v>30600</x:v>
      </x:c>
      <x:c r="J126" s="11" t="n">
        <x:v>12870</x:v>
      </x:c>
      <x:c r="K126" t="str">
        <x:v>Omar</x:v>
      </x:c>
      <x:c r="L126" s="12" t="n">
        <x:v>45</x:v>
      </x:c>
      <x:c r="M126" t="str">
        <x:v>Paid</x:v>
      </x:c>
    </x:row>
    <x:row r="127">
      <x:c r="A127" t="str">
        <x:v>SO-2025-1126</x:v>
      </x:c>
      <x:c r="B127" s="10" t="n">
        <x:v>45996</x:v>
      </x:c>
      <x:c r="C127" t="str">
        <x:v>Atlas Oil Services</x:v>
      </x:c>
      <x:c r="D127" t="str">
        <x:v>West</x:v>
      </x:c>
      <x:c r="E127" t="str">
        <x:v>Pump Assembly A</x:v>
      </x:c>
      <x:c r="F127" s="12" t="n">
        <x:v>18</x:v>
      </x:c>
      <x:c r="G127" s="11" t="n">
        <x:v>4910</x:v>
      </x:c>
      <x:c r="H127" s="11" t="n">
        <x:v>88380</x:v>
      </x:c>
      <x:c r="I127" s="11" t="n">
        <x:v>61200</x:v>
      </x:c>
      <x:c r="J127" s="11" t="n">
        <x:v>27180</x:v>
      </x:c>
      <x:c r="K127" t="str">
        <x:v>Yousef</x:v>
      </x:c>
      <x:c r="L127" s="12" t="n">
        <x:v>15</x:v>
      </x:c>
      <x:c r="M127" t="str">
        <x:v>Pending</x:v>
      </x:c>
    </x:row>
    <x:row r="128">
      <x:c r="A128" t="str">
        <x:v>SO-2025-1127</x:v>
      </x:c>
      <x:c r="B128" s="10" t="n">
        <x:v>45918</x:v>
      </x:c>
      <x:c r="C128" t="str">
        <x:v>Al Noor Industrial</x:v>
      </x:c>
      <x:c r="D128" t="str">
        <x:v>East</x:v>
      </x:c>
      <x:c r="E128" t="str">
        <x:v>Seal Kit</x:v>
      </x:c>
      <x:c r="F128" s="12" t="n">
        <x:v>17</x:v>
      </x:c>
      <x:c r="G128" s="11" t="n">
        <x:v>60</x:v>
      </x:c>
      <x:c r="H128" s="11" t="n">
        <x:v>1020</x:v>
      </x:c>
      <x:c r="I128" s="11" t="n">
        <x:v>2805</x:v>
      </x:c>
      <x:c r="J128" s="11" t="n">
        <x:v>-1785</x:v>
      </x:c>
      <x:c r="K128" t="str">
        <x:v>Omar</x:v>
      </x:c>
      <x:c r="L128" s="12" t="n">
        <x:v>30</x:v>
      </x:c>
      <x:c r="M128" t="str">
        <x:v>Pending</x:v>
      </x:c>
    </x:row>
    <x:row r="129">
      <x:c r="A129" t="str">
        <x:v>SO-2025-1128</x:v>
      </x:c>
      <x:c r="B129" s="10" t="n">
        <x:v>45911</x:v>
      </x:c>
      <x:c r="C129" t="str">
        <x:v>North Coast Trading</x:v>
      </x:c>
      <x:c r="D129" t="str">
        <x:v>Export</x:v>
      </x:c>
      <x:c r="E129" t="str">
        <x:v>Sensor Pack</x:v>
      </x:c>
      <x:c r="F129" s="12" t="n">
        <x:v>12</x:v>
      </x:c>
      <x:c r="G129" s="11" t="n">
        <x:v>620</x:v>
      </x:c>
      <x:c r="H129" s="11" t="n">
        <x:v>7440</x:v>
      </x:c>
      <x:c r="I129" s="11" t="n">
        <x:v>3120</x:v>
      </x:c>
      <x:c r="J129" s="11" t="n">
        <x:v>4320</x:v>
      </x:c>
      <x:c r="K129" t="str">
        <x:v>Omar</x:v>
      </x:c>
      <x:c r="L129" s="12" t="n">
        <x:v>30</x:v>
      </x:c>
      <x:c r="M129" t="str">
        <x:v>Paid</x:v>
      </x:c>
    </x:row>
    <x:row r="130">
      <x:c r="A130" t="str">
        <x:v>SO-2025-1129</x:v>
      </x:c>
      <x:c r="B130" s="10" t="n">
        <x:v>45789</x:v>
      </x:c>
      <x:c r="C130" t="str">
        <x:v>Sahara Tech</x:v>
      </x:c>
      <x:c r="D130" t="str">
        <x:v>West</x:v>
      </x:c>
      <x:c r="E130" t="str">
        <x:v>Control Panel Z</x:v>
      </x:c>
      <x:c r="F130" s="12" t="n">
        <x:v>10</x:v>
      </x:c>
      <x:c r="G130" s="11" t="n">
        <x:v>4140</x:v>
      </x:c>
      <x:c r="H130" s="11" t="n">
        <x:v>41400</x:v>
      </x:c>
      <x:c r="I130" s="11" t="n">
        <x:v>28750</x:v>
      </x:c>
      <x:c r="J130" s="11" t="n">
        <x:v>12650</x:v>
      </x:c>
      <x:c r="K130" t="str">
        <x:v>Yousef</x:v>
      </x:c>
      <x:c r="L130" s="12" t="n">
        <x:v>45</x:v>
      </x:c>
      <x:c r="M130" t="str">
        <x:v>Pending</x:v>
      </x:c>
    </x:row>
    <x:row r="131">
      <x:c r="A131" t="str">
        <x:v>SO-2025-1130</x:v>
      </x:c>
      <x:c r="B131" s="10" t="n">
        <x:v>45794</x:v>
      </x:c>
      <x:c r="C131" t="str">
        <x:v>Desert Build Co.</x:v>
      </x:c>
      <x:c r="D131" t="str">
        <x:v>East</x:v>
      </x:c>
      <x:c r="E131" t="str">
        <x:v>Control Panel X</x:v>
      </x:c>
      <x:c r="F131" s="12" t="n">
        <x:v>6</x:v>
      </x:c>
      <x:c r="G131" s="11" t="n">
        <x:v>3040</x:v>
      </x:c>
      <x:c r="H131" s="11" t="n">
        <x:v>18240</x:v>
      </x:c>
      <x:c r="I131" s="11" t="n">
        <x:v>12060</x:v>
      </x:c>
      <x:c r="J131" s="11" t="n">
        <x:v>6180</x:v>
      </x:c>
      <x:c r="K131" t="str">
        <x:v>Rania</x:v>
      </x:c>
      <x:c r="L131" s="12" t="n">
        <x:v>30</x:v>
      </x:c>
      <x:c r="M131" t="str">
        <x:v>Paid</x:v>
      </x:c>
    </x:row>
    <x:row r="132">
      <x:c r="A132" t="str">
        <x:v>SO-2025-1131</x:v>
      </x:c>
      <x:c r="B132" s="10" t="n">
        <x:v>45802</x:v>
      </x:c>
      <x:c r="C132" t="str">
        <x:v>Green Valley Group</x:v>
      </x:c>
      <x:c r="D132" t="str">
        <x:v>Export</x:v>
      </x:c>
      <x:c r="E132" t="str">
        <x:v>Pump Assembly A</x:v>
      </x:c>
      <x:c r="F132" s="12" t="n">
        <x:v>16</x:v>
      </x:c>
      <x:c r="G132" s="11" t="n">
        <x:v>4800</x:v>
      </x:c>
      <x:c r="H132" s="11" t="n">
        <x:v>76800</x:v>
      </x:c>
      <x:c r="I132" s="11" t="n">
        <x:v>52960</x:v>
      </x:c>
      <x:c r="J132" s="11" t="n">
        <x:v>23840</x:v>
      </x:c>
      <x:c r="K132" t="str">
        <x:v>Yousef</x:v>
      </x:c>
      <x:c r="L132" s="12" t="n">
        <x:v>15</x:v>
      </x:c>
      <x:c r="M132" t="str">
        <x:v>Paid</x:v>
      </x:c>
    </x:row>
    <x:row r="133">
      <x:c r="A133" t="str">
        <x:v>SO-2025-1132</x:v>
      </x:c>
      <x:c r="B133" s="10" t="n">
        <x:v>45844</x:v>
      </x:c>
      <x:c r="C133" t="str">
        <x:v>Mediterranean Pumps</x:v>
      </x:c>
      <x:c r="D133" t="str">
        <x:v>East</x:v>
      </x:c>
      <x:c r="E133" t="str">
        <x:v>Control Panel Z</x:v>
      </x:c>
      <x:c r="F133" s="12" t="n">
        <x:v>4</x:v>
      </x:c>
      <x:c r="G133" s="11" t="n">
        <x:v>4200</x:v>
      </x:c>
      <x:c r="H133" s="11" t="n">
        <x:v>16800</x:v>
      </x:c>
      <x:c r="I133" s="11" t="n">
        <x:v>11780</x:v>
      </x:c>
      <x:c r="J133" s="11" t="n">
        <x:v>5020</x:v>
      </x:c>
      <x:c r="K133" t="str">
        <x:v>Rania</x:v>
      </x:c>
      <x:c r="L133" s="12" t="n">
        <x:v>75</x:v>
      </x:c>
      <x:c r="M133" t="str">
        <x:v>Paid</x:v>
      </x:c>
    </x:row>
    <x:row r="134">
      <x:c r="A134" t="str">
        <x:v>SO-2025-1133</x:v>
      </x:c>
      <x:c r="B134" s="10" t="n">
        <x:v>45795</x:v>
      </x:c>
      <x:c r="C134" t="str">
        <x:v>Al Noor Industrial</x:v>
      </x:c>
      <x:c r="D134" t="str">
        <x:v>Export</x:v>
      </x:c>
      <x:c r="E134" t="str">
        <x:v>Control Panel Z</x:v>
      </x:c>
      <x:c r="F134" s="12" t="n">
        <x:v>8</x:v>
      </x:c>
      <x:c r="G134" s="11" t="n">
        <x:v>4200</x:v>
      </x:c>
      <x:c r="H134" s="11" t="n">
        <x:v>33600</x:v>
      </x:c>
      <x:c r="I134" s="11" t="n">
        <x:v>22280</x:v>
      </x:c>
      <x:c r="J134" s="11" t="n">
        <x:v>11320</x:v>
      </x:c>
      <x:c r="K134" t="str">
        <x:v>Rania</x:v>
      </x:c>
      <x:c r="L134" s="12" t="n">
        <x:v>30</x:v>
      </x:c>
      <x:c r="M134" t="str">
        <x:v>Pending</x:v>
      </x:c>
    </x:row>
    <x:row r="135">
      <x:c r="A135" t="str">
        <x:v>SO-2026-1134</x:v>
      </x:c>
      <x:c r="B135" s="10" t="n">
        <x:v>46040</x:v>
      </x:c>
      <x:c r="C135" t="str">
        <x:v>Atlas Oil Services</x:v>
      </x:c>
      <x:c r="D135" t="str">
        <x:v>West</x:v>
      </x:c>
      <x:c r="E135" t="str">
        <x:v>Control Panel X</x:v>
      </x:c>
      <x:c r="F135" s="12" t="n">
        <x:v>14</x:v>
      </x:c>
      <x:c r="G135" s="11" t="n">
        <x:v>3210</x:v>
      </x:c>
      <x:c r="H135" s="11" t="n">
        <x:v>44940</x:v>
      </x:c>
      <x:c r="I135" s="11" t="n">
        <x:v>29680</x:v>
      </x:c>
      <x:c r="J135" s="11" t="n">
        <x:v>15260</x:v>
      </x:c>
      <x:c r="K135" t="str">
        <x:v>Fathi</x:v>
      </x:c>
      <x:c r="L135" s="12" t="n">
        <x:v>75</x:v>
      </x:c>
      <x:c r="M135" t="str">
        <x:v>Pending</x:v>
      </x:c>
    </x:row>
    <x:row r="136">
      <x:c r="A136" t="str">
        <x:v>SO-2025-1135</x:v>
      </x:c>
      <x:c r="B136" s="10" t="n">
        <x:v>45677</x:v>
      </x:c>
      <x:c r="C136" t="str">
        <x:v>Misrata Energy</x:v>
      </x:c>
      <x:c r="D136" t="str">
        <x:v>West</x:v>
      </x:c>
      <x:c r="E136" t="str">
        <x:v>Control Panel Z</x:v>
      </x:c>
      <x:c r="F136" s="12" t="n">
        <x:v>9</x:v>
      </x:c>
      <x:c r="G136" s="11" t="n">
        <x:v>4230</x:v>
      </x:c>
      <x:c r="H136" s="11" t="n">
        <x:v>38070</x:v>
      </x:c>
      <x:c r="I136" s="11" t="n">
        <x:v>26505</x:v>
      </x:c>
      <x:c r="J136" s="11" t="n">
        <x:v>11565</x:v>
      </x:c>
      <x:c r="K136" t="str">
        <x:v>Fathi</x:v>
      </x:c>
      <x:c r="L136" s="12" t="n">
        <x:v>15</x:v>
      </x:c>
      <x:c r="M136" t="str">
        <x:v>Pending</x:v>
      </x:c>
    </x:row>
    <x:row r="137">
      <x:c r="A137" t="str">
        <x:v>SO-2025-1136</x:v>
      </x:c>
      <x:c r="B137" s="10" t="n">
        <x:v>45776</x:v>
      </x:c>
      <x:c r="C137" t="str">
        <x:v>Desert Build Co.</x:v>
      </x:c>
      <x:c r="D137" t="str">
        <x:v>East</x:v>
      </x:c>
      <x:c r="E137" t="str">
        <x:v>Pump Assembly A</x:v>
      </x:c>
      <x:c r="F137" s="12" t="n">
        <x:v>4</x:v>
      </x:c>
      <x:c r="G137" s="11" t="n">
        <x:v>4860</x:v>
      </x:c>
      <x:c r="H137" s="11" t="n">
        <x:v>19440</x:v>
      </x:c>
      <x:c r="I137" s="11" t="n">
        <x:v>13600</x:v>
      </x:c>
      <x:c r="J137" s="11" t="n">
        <x:v>5840</x:v>
      </x:c>
      <x:c r="K137" t="str">
        <x:v>Fathi</x:v>
      </x:c>
      <x:c r="L137" s="12" t="n">
        <x:v>15</x:v>
      </x:c>
      <x:c r="M137" t="str">
        <x:v>Paid</x:v>
      </x:c>
    </x:row>
    <x:row r="138">
      <x:c r="A138" t="str">
        <x:v>SO-2025-1137</x:v>
      </x:c>
      <x:c r="B138" s="10" t="n">
        <x:v>45933</x:v>
      </x:c>
      <x:c r="C138" t="str">
        <x:v>Misrata Energy</x:v>
      </x:c>
      <x:c r="D138" t="str">
        <x:v>West</x:v>
      </x:c>
      <x:c r="E138" t="str">
        <x:v>Control Panel X</x:v>
      </x:c>
      <x:c r="F138" s="12" t="n">
        <x:v>9</x:v>
      </x:c>
      <x:c r="G138" s="11" t="n">
        <x:v>3040</x:v>
      </x:c>
      <x:c r="H138" s="11" t="n">
        <x:v>27360</x:v>
      </x:c>
      <x:c r="I138" s="11" t="n">
        <x:v>18450</x:v>
      </x:c>
      <x:c r="J138" s="11" t="n">
        <x:v>8910</x:v>
      </x:c>
      <x:c r="K138" t="str">
        <x:v>Yousef</x:v>
      </x:c>
      <x:c r="L138" s="12" t="n">
        <x:v>45</x:v>
      </x:c>
      <x:c r="M138" t="str">
        <x:v>Pending</x:v>
      </x:c>
    </x:row>
    <x:row r="139">
      <x:c r="A139" t="str">
        <x:v>SO-2025-1138</x:v>
      </x:c>
      <x:c r="B139" s="10" t="n">
        <x:v>45667</x:v>
      </x:c>
      <x:c r="C139" t="str">
        <x:v>Misrata Energy</x:v>
      </x:c>
      <x:c r="D139" t="str">
        <x:v>South</x:v>
      </x:c>
      <x:c r="E139" t="str">
        <x:v>Control Panel X</x:v>
      </x:c>
      <x:c r="F139" s="12" t="n">
        <x:v>7</x:v>
      </x:c>
      <x:c r="G139" s="11" t="n">
        <x:v>3210</x:v>
      </x:c>
      <x:c r="H139" s="11" t="n">
        <x:v>22470</x:v>
      </x:c>
      <x:c r="I139" s="11" t="n">
        <x:v>14070</x:v>
      </x:c>
      <x:c r="J139" s="11" t="n">
        <x:v>8400</x:v>
      </x:c>
      <x:c r="K139" t="str">
        <x:v>Fathi</x:v>
      </x:c>
      <x:c r="L139" s="12" t="n">
        <x:v>45</x:v>
      </x:c>
      <x:c r="M139" t="str">
        <x:v>Paid</x:v>
      </x:c>
    </x:row>
    <x:row r="140">
      <x:c r="A140" t="str">
        <x:v>SO-2025-1139</x:v>
      </x:c>
      <x:c r="B140" s="10" t="n">
        <x:v>45665</x:v>
      </x:c>
      <x:c r="C140" t="str">
        <x:v>Atlas Oil Services</x:v>
      </x:c>
      <x:c r="D140" t="str">
        <x:v>East</x:v>
      </x:c>
      <x:c r="E140" t="str">
        <x:v>Control Panel Z</x:v>
      </x:c>
      <x:c r="F140" s="12" t="n">
        <x:v>8</x:v>
      </x:c>
      <x:c r="G140" s="11" t="n">
        <x:v>4260</x:v>
      </x:c>
      <x:c r="H140" s="11" t="n">
        <x:v>34080</x:v>
      </x:c>
      <x:c r="I140" s="11" t="n">
        <x:v>23560</x:v>
      </x:c>
      <x:c r="J140" s="11" t="n">
        <x:v>10520</x:v>
      </x:c>
      <x:c r="K140" t="str">
        <x:v>Rania</x:v>
      </x:c>
      <x:c r="L140" s="12" t="n">
        <x:v>60</x:v>
      </x:c>
      <x:c r="M140" t="str">
        <x:v>Paid</x:v>
      </x:c>
    </x:row>
    <x:row r="141">
      <x:c r="A141" t="str">
        <x:v>SO-2026-1140</x:v>
      </x:c>
      <x:c r="B141" s="10" t="n">
        <x:v>46035</x:v>
      </x:c>
      <x:c r="C141" t="str">
        <x:v>Mediterranean Pumps</x:v>
      </x:c>
      <x:c r="D141" t="str">
        <x:v>West</x:v>
      </x:c>
      <x:c r="E141" t="str">
        <x:v>Sensor Pack</x:v>
      </x:c>
      <x:c r="F141" s="12" t="n">
        <x:v>8</x:v>
      </x:c>
      <x:c r="G141" s="11" t="n">
        <x:v>390</x:v>
      </x:c>
      <x:c r="H141" s="11" t="n">
        <x:v>3120</x:v>
      </x:c>
      <x:c r="I141" s="11" t="n">
        <x:v>2960</x:v>
      </x:c>
      <x:c r="J141" s="11" t="n">
        <x:v>160</x:v>
      </x:c>
      <x:c r="K141" t="str">
        <x:v>Omar</x:v>
      </x:c>
      <x:c r="L141" s="12" t="n">
        <x:v>45</x:v>
      </x:c>
      <x:c r="M141" t="str">
        <x:v>Pending</x:v>
      </x:c>
    </x:row>
    <x:row r="142">
      <x:c r="A142" t="str">
        <x:v>SO-2025-1141</x:v>
      </x:c>
      <x:c r="B142" s="10" t="n">
        <x:v>45741</x:v>
      </x:c>
      <x:c r="C142" t="str">
        <x:v>Atlas Oil Services</x:v>
      </x:c>
      <x:c r="D142" t="str">
        <x:v>Export</x:v>
      </x:c>
      <x:c r="E142" t="str">
        <x:v>Pump Assembly A</x:v>
      </x:c>
      <x:c r="F142" s="12" t="n">
        <x:v>13</x:v>
      </x:c>
      <x:c r="G142" s="11" t="n">
        <x:v>4860</x:v>
      </x:c>
      <x:c r="H142" s="11" t="n">
        <x:v>63180</x:v>
      </x:c>
      <x:c r="I142" s="11" t="n">
        <x:v>43680</x:v>
      </x:c>
      <x:c r="J142" s="11" t="n">
        <x:v>19500</x:v>
      </x:c>
      <x:c r="K142" t="str">
        <x:v>Salma</x:v>
      </x:c>
      <x:c r="L142" s="12" t="n">
        <x:v>45</x:v>
      </x:c>
      <x:c r="M142" t="str">
        <x:v>Pending</x:v>
      </x:c>
    </x:row>
    <x:row r="143">
      <x:c r="A143" t="str">
        <x:v>SO-2025-1142</x:v>
      </x:c>
      <x:c r="B143" s="10" t="n">
        <x:v>45971</x:v>
      </x:c>
      <x:c r="C143" t="str">
        <x:v>Tripoli Utilities</x:v>
      </x:c>
      <x:c r="D143" t="str">
        <x:v>East</x:v>
      </x:c>
      <x:c r="E143" t="str">
        <x:v>Control Panel X</x:v>
      </x:c>
      <x:c r="F143" s="12" t="n">
        <x:v>10</x:v>
      </x:c>
      <x:c r="G143" s="11" t="n">
        <x:v>3160</x:v>
      </x:c>
      <x:c r="H143" s="11" t="n">
        <x:v>31600</x:v>
      </x:c>
      <x:c r="I143" s="11" t="n">
        <x:v>20500</x:v>
      </x:c>
      <x:c r="J143" s="11" t="n">
        <x:v>11100</x:v>
      </x:c>
      <x:c r="K143" t="str">
        <x:v>Omar</x:v>
      </x:c>
      <x:c r="L143" s="12" t="n">
        <x:v>30</x:v>
      </x:c>
      <x:c r="M143" t="str">
        <x:v>Paid</x:v>
      </x:c>
    </x:row>
    <x:row r="144">
      <x:c r="A144" t="str">
        <x:v>SO-2026-1143</x:v>
      </x:c>
      <x:c r="B144" s="10" t="n">
        <x:v>46030</x:v>
      </x:c>
      <x:c r="C144" t="str">
        <x:v>Mediterranean Pumps</x:v>
      </x:c>
      <x:c r="D144" t="str">
        <x:v>South</x:v>
      </x:c>
      <x:c r="E144" t="str">
        <x:v>Pump Assembly A</x:v>
      </x:c>
      <x:c r="F144" s="12" t="n">
        <x:v>17</x:v>
      </x:c>
      <x:c r="G144" s="11" t="n">
        <x:v>4830</x:v>
      </x:c>
      <x:c r="H144" s="11" t="n">
        <x:v>82110</x:v>
      </x:c>
      <x:c r="I144" s="11" t="n">
        <x:v>58395</x:v>
      </x:c>
      <x:c r="J144" s="11" t="n">
        <x:v>23715</x:v>
      </x:c>
      <x:c r="K144" t="str">
        <x:v>Omar</x:v>
      </x:c>
      <x:c r="L144" s="12" t="n">
        <x:v>75</x:v>
      </x:c>
      <x:c r="M144" t="str">
        <x:v>Paid</x:v>
      </x:c>
    </x:row>
    <x:row r="145">
      <x:c r="A145" t="str">
        <x:v>SO-2025-1144</x:v>
      </x:c>
      <x:c r="B145" s="10" t="n">
        <x:v>45749</x:v>
      </x:c>
      <x:c r="C145" t="str">
        <x:v>Misrata Energy</x:v>
      </x:c>
      <x:c r="D145" t="str">
        <x:v>Export</x:v>
      </x:c>
      <x:c r="E145" t="str">
        <x:v>Pump Assembly B</x:v>
      </x:c>
      <x:c r="F145" s="12" t="n">
        <x:v>3</x:v>
      </x:c>
      <x:c r="G145" s="11" t="n">
        <x:v>6080</x:v>
      </x:c>
      <x:c r="H145" s="11" t="n">
        <x:v>18240</x:v>
      </x:c>
      <x:c r="I145" s="11" t="n">
        <x:v>13650</x:v>
      </x:c>
      <x:c r="J145" s="11" t="n">
        <x:v>4590</x:v>
      </x:c>
      <x:c r="K145" t="str">
        <x:v>Fathi</x:v>
      </x:c>
      <x:c r="L145" s="12" t="n">
        <x:v>75</x:v>
      </x:c>
      <x:c r="M145" t="str">
        <x:v>Pending</x:v>
      </x:c>
    </x:row>
  </x:sheetData>
  <x:conditionalFormatting sqref="J2:J145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3b972cac93d4ca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.569999694824219" hidden="0" customWidth="1"/>
    <x:col min="2" max="2" width="12.430000305175781" hidden="0" customWidth="1"/>
    <x:col min="3" max="3" width="14.140000343322754" hidden="0" customWidth="1"/>
    <x:col min="4" max="4" width="15.289999961853027" hidden="0" customWidth="1"/>
    <x:col min="5" max="5" width="31" hidden="0" customWidth="1"/>
    <x:col min="6" max="6" width="13.569999694824219" hidden="0" customWidth="1"/>
    <x:col min="7" max="7" width="12.710000038146973" hidden="0" customWidth="1"/>
    <x:col min="8" max="8" width="11.569999694824219" hidden="0" customWidth="1"/>
    <x:col min="9" max="9" width="7.289999961853027" hidden="0" customWidth="1"/>
    <x:col min="10" max="10" width="10.430000305175781" hidden="0" customWidth="1"/>
  </x:cols>
  <x:sheetData>
    <x:row r="1">
      <x:c r="A1" s="8" t="str">
        <x:v>Expense_ID</x:v>
      </x:c>
      <x:c r="B1" s="8" t="str">
        <x:v>Date</x:v>
      </x:c>
      <x:c r="C1" s="8" t="str">
        <x:v>Department</x:v>
      </x:c>
      <x:c r="D1" s="8" t="str">
        <x:v>Category</x:v>
      </x:c>
      <x:c r="E1" s="8" t="str">
        <x:v>Description</x:v>
      </x:c>
      <x:c r="F1" s="8" t="str">
        <x:v>Budget_USD</x:v>
      </x:c>
      <x:c r="G1" s="8" t="str">
        <x:v>Actual_USD</x:v>
      </x:c>
      <x:c r="H1" s="8" t="str">
        <x:v>Variance</x:v>
      </x:c>
      <x:c r="I1" s="8" t="str">
        <x:v>Owner</x:v>
      </x:c>
      <x:c r="J1" s="8" t="str">
        <x:v>Status</x:v>
      </x:c>
    </x:row>
    <x:row r="2">
      <x:c r="A2" t="str">
        <x:v>EX-3001</x:v>
      </x:c>
      <x:c r="B2" s="10" t="n">
        <x:v>45658</x:v>
      </x:c>
      <x:c r="C2" t="str">
        <x:v>Finance</x:v>
      </x:c>
      <x:c r="D2" t="str">
        <x:v>Training</x:v>
      </x:c>
      <x:c r="E2" t="str">
        <x:v>Training cost - cycle 1</x:v>
      </x:c>
      <x:c r="F2" s="11" t="n">
        <x:v>8644</x:v>
      </x:c>
      <x:c r="G2" s="11" t="n">
        <x:v>9814</x:v>
      </x:c>
      <x:c r="H2" s="11" t="n">
        <x:v>1170</x:v>
      </x:c>
      <x:c r="I2" t="str">
        <x:v>Sara</x:v>
      </x:c>
      <x:c r="J2" t="str">
        <x:v>Approved</x:v>
      </x:c>
    </x:row>
    <x:row r="3">
      <x:c r="A3" t="str">
        <x:v>EX-3002</x:v>
      </x:c>
      <x:c r="B3" s="10" t="n">
        <x:v>45673</x:v>
      </x:c>
      <x:c r="C3" t="str">
        <x:v>HR</x:v>
      </x:c>
      <x:c r="D3" t="str">
        <x:v>Raw Materials</x:v>
      </x:c>
      <x:c r="E3" t="str">
        <x:v>Raw Materials cost - cycle 2</x:v>
      </x:c>
      <x:c r="F3" s="11" t="n">
        <x:v>2899</x:v>
      </x:c>
      <x:c r="G3" s="11" t="n">
        <x:v>3550</x:v>
      </x:c>
      <x:c r="H3" s="11" t="n">
        <x:v>651</x:v>
      </x:c>
      <x:c r="I3" t="str">
        <x:v>Huda</x:v>
      </x:c>
      <x:c r="J3" t="str">
        <x:v>Approved</x:v>
      </x:c>
    </x:row>
    <x:row r="4">
      <x:c r="A4" t="str">
        <x:v>EX-3003</x:v>
      </x:c>
      <x:c r="B4" s="10" t="n">
        <x:v>45688</x:v>
      </x:c>
      <x:c r="C4" t="str">
        <x:v>Sales</x:v>
      </x:c>
      <x:c r="D4" t="str">
        <x:v>Raw Materials</x:v>
      </x:c>
      <x:c r="E4" t="str">
        <x:v>Raw Materials cost - cycle 3</x:v>
      </x:c>
      <x:c r="F4" s="11" t="n">
        <x:v>4108</x:v>
      </x:c>
      <x:c r="G4" s="11" t="n">
        <x:v>4778</x:v>
      </x:c>
      <x:c r="H4" s="11" t="n">
        <x:v>670</x:v>
      </x:c>
      <x:c r="I4" t="str">
        <x:v>Mona</x:v>
      </x:c>
      <x:c r="J4" t="str">
        <x:v>Approved</x:v>
      </x:c>
    </x:row>
    <x:row r="5">
      <x:c r="A5" t="str">
        <x:v>EX-3004</x:v>
      </x:c>
      <x:c r="B5" s="10" t="n">
        <x:v>45703</x:v>
      </x:c>
      <x:c r="C5" t="str">
        <x:v>Maintenance</x:v>
      </x:c>
      <x:c r="D5" t="str">
        <x:v>Marketing</x:v>
      </x:c>
      <x:c r="E5" t="str">
        <x:v>Marketing cost - cycle 4</x:v>
      </x:c>
      <x:c r="F5" s="11" t="n">
        <x:v>11350</x:v>
      </x:c>
      <x:c r="G5" s="11" t="n">
        <x:v>10555</x:v>
      </x:c>
      <x:c r="H5" s="11" t="n">
        <x:v>-795</x:v>
      </x:c>
      <x:c r="I5" t="str">
        <x:v>Bilal</x:v>
      </x:c>
      <x:c r="J5" t="str">
        <x:v>Approved</x:v>
      </x:c>
    </x:row>
    <x:row r="6">
      <x:c r="A6" t="str">
        <x:v>EX-3005</x:v>
      </x:c>
      <x:c r="B6" s="10" t="n">
        <x:v>45718</x:v>
      </x:c>
      <x:c r="C6" t="str">
        <x:v>Finance</x:v>
      </x:c>
      <x:c r="D6" t="str">
        <x:v>Training</x:v>
      </x:c>
      <x:c r="E6" t="str">
        <x:v>Training cost - cycle 5</x:v>
      </x:c>
      <x:c r="F6" s="11" t="n">
        <x:v>9192</x:v>
      </x:c>
      <x:c r="G6" s="11" t="n">
        <x:v>9533</x:v>
      </x:c>
      <x:c r="H6" s="11" t="n">
        <x:v>341</x:v>
      </x:c>
      <x:c r="I6" t="str">
        <x:v>Sara</x:v>
      </x:c>
      <x:c r="J6" t="str">
        <x:v>Approved</x:v>
      </x:c>
    </x:row>
    <x:row r="7">
      <x:c r="A7" t="str">
        <x:v>EX-3006</x:v>
      </x:c>
      <x:c r="B7" s="10" t="n">
        <x:v>45733</x:v>
      </x:c>
      <x:c r="C7" t="str">
        <x:v>Operations</x:v>
      </x:c>
      <x:c r="D7" t="str">
        <x:v>Software</x:v>
      </x:c>
      <x:c r="E7" t="str">
        <x:v>Software cost - cycle 6</x:v>
      </x:c>
      <x:c r="F7" s="11" t="n">
        <x:v>5331</x:v>
      </x:c>
      <x:c r="G7" s="11" t="n">
        <x:v>5770</x:v>
      </x:c>
      <x:c r="H7" s="11" t="n">
        <x:v>439</x:v>
      </x:c>
      <x:c r="I7" t="str">
        <x:v>Mona</x:v>
      </x:c>
      <x:c r="J7" t="str">
        <x:v>Approved</x:v>
      </x:c>
    </x:row>
    <x:row r="8">
      <x:c r="A8" t="str">
        <x:v>EX-3007</x:v>
      </x:c>
      <x:c r="B8" s="10" t="n">
        <x:v>45748</x:v>
      </x:c>
      <x:c r="C8" t="str">
        <x:v>Maintenance</x:v>
      </x:c>
      <x:c r="D8" t="str">
        <x:v>Repairs</x:v>
      </x:c>
      <x:c r="E8" t="str">
        <x:v>Repairs cost - cycle 7</x:v>
      </x:c>
      <x:c r="F8" s="11" t="n">
        <x:v>11090</x:v>
      </x:c>
      <x:c r="G8" s="11" t="n">
        <x:v>9490</x:v>
      </x:c>
      <x:c r="H8" s="11" t="n">
        <x:v>-1600</x:v>
      </x:c>
      <x:c r="I8" t="str">
        <x:v>Khaled</x:v>
      </x:c>
      <x:c r="J8" t="str">
        <x:v>Approved</x:v>
      </x:c>
    </x:row>
    <x:row r="9">
      <x:c r="A9" t="str">
        <x:v>EX-3008</x:v>
      </x:c>
      <x:c r="B9" s="10" t="n">
        <x:v>45763</x:v>
      </x:c>
      <x:c r="C9" t="str">
        <x:v>Operations</x:v>
      </x:c>
      <x:c r="D9" t="str">
        <x:v>Utilities</x:v>
      </x:c>
      <x:c r="E9" t="str">
        <x:v>Utilities cost - cycle 8</x:v>
      </x:c>
      <x:c r="F9" s="11" t="n">
        <x:v>3247</x:v>
      </x:c>
      <x:c r="G9" s="11" t="n">
        <x:v>3591</x:v>
      </x:c>
      <x:c r="H9" s="11" t="n">
        <x:v>344</x:v>
      </x:c>
      <x:c r="I9" t="str">
        <x:v>Khaled</x:v>
      </x:c>
      <x:c r="J9" t="str">
        <x:v>Approved</x:v>
      </x:c>
    </x:row>
    <x:row r="10">
      <x:c r="A10" t="str">
        <x:v>EX-3009</x:v>
      </x:c>
      <x:c r="B10" s="10" t="n">
        <x:v>45778</x:v>
      </x:c>
      <x:c r="C10" t="str">
        <x:v>Sales</x:v>
      </x:c>
      <x:c r="D10" t="str">
        <x:v>Payroll</x:v>
      </x:c>
      <x:c r="E10" t="str">
        <x:v>Payroll cost - cycle 9</x:v>
      </x:c>
      <x:c r="F10" s="11" t="n">
        <x:v>2005</x:v>
      </x:c>
      <x:c r="G10" s="11" t="n">
        <x:v>1682</x:v>
      </x:c>
      <x:c r="H10" s="11" t="n">
        <x:v>-323</x:v>
      </x:c>
      <x:c r="I10" t="str">
        <x:v>Bilal</x:v>
      </x:c>
      <x:c r="J10" t="str">
        <x:v>Approved</x:v>
      </x:c>
    </x:row>
    <x:row r="11">
      <x:c r="A11" t="str">
        <x:v>EX-3010</x:v>
      </x:c>
      <x:c r="B11" s="10" t="n">
        <x:v>45793</x:v>
      </x:c>
      <x:c r="C11" t="str">
        <x:v>Operations</x:v>
      </x:c>
      <x:c r="D11" t="str">
        <x:v>Utilities</x:v>
      </x:c>
      <x:c r="E11" t="str">
        <x:v>Utilities cost - cycle 10</x:v>
      </x:c>
      <x:c r="F11" s="11" t="n">
        <x:v>2264</x:v>
      </x:c>
      <x:c r="G11" s="11" t="n">
        <x:v>1924</x:v>
      </x:c>
      <x:c r="H11" s="11" t="n">
        <x:v>-340</x:v>
      </x:c>
      <x:c r="I11" t="str">
        <x:v>Sara</x:v>
      </x:c>
      <x:c r="J11" t="str">
        <x:v>Approved</x:v>
      </x:c>
    </x:row>
    <x:row r="12">
      <x:c r="A12" t="str">
        <x:v>EX-3011</x:v>
      </x:c>
      <x:c r="B12" s="10" t="n">
        <x:v>45808</x:v>
      </x:c>
      <x:c r="C12" t="str">
        <x:v>Sales</x:v>
      </x:c>
      <x:c r="D12" t="str">
        <x:v>Training</x:v>
      </x:c>
      <x:c r="E12" t="str">
        <x:v>Training cost - cycle 11</x:v>
      </x:c>
      <x:c r="F12" s="11" t="n">
        <x:v>2580</x:v>
      </x:c>
      <x:c r="G12" s="11" t="n">
        <x:v>3159</x:v>
      </x:c>
      <x:c r="H12" s="11" t="n">
        <x:v>579</x:v>
      </x:c>
      <x:c r="I12" t="str">
        <x:v>Bilal</x:v>
      </x:c>
      <x:c r="J12" t="str">
        <x:v>Approved</x:v>
      </x:c>
    </x:row>
    <x:row r="13">
      <x:c r="A13" t="str">
        <x:v>EX-3012</x:v>
      </x:c>
      <x:c r="B13" s="10" t="n">
        <x:v>45823</x:v>
      </x:c>
      <x:c r="C13" t="str">
        <x:v>Operations</x:v>
      </x:c>
      <x:c r="D13" t="str">
        <x:v>Raw Materials</x:v>
      </x:c>
      <x:c r="E13" t="str">
        <x:v>Raw Materials cost - cycle 12</x:v>
      </x:c>
      <x:c r="F13" s="11" t="n">
        <x:v>4870</x:v>
      </x:c>
      <x:c r="G13" s="11" t="n">
        <x:v>4448</x:v>
      </x:c>
      <x:c r="H13" s="11" t="n">
        <x:v>-422</x:v>
      </x:c>
      <x:c r="I13" t="str">
        <x:v>Huda</x:v>
      </x:c>
      <x:c r="J13" t="str">
        <x:v>Review</x:v>
      </x:c>
    </x:row>
    <x:row r="14">
      <x:c r="A14" t="str">
        <x:v>EX-3013</x:v>
      </x:c>
      <x:c r="B14" s="10" t="n">
        <x:v>45838</x:v>
      </x:c>
      <x:c r="C14" t="str">
        <x:v>Finance</x:v>
      </x:c>
      <x:c r="D14" t="str">
        <x:v>Utilities</x:v>
      </x:c>
      <x:c r="E14" t="str">
        <x:v>Utilities cost - cycle 13</x:v>
      </x:c>
      <x:c r="F14" s="11" t="n">
        <x:v>11847</x:v>
      </x:c>
      <x:c r="G14" s="11" t="n">
        <x:v>13160</x:v>
      </x:c>
      <x:c r="H14" s="11" t="n">
        <x:v>1313</x:v>
      </x:c>
      <x:c r="I14" t="str">
        <x:v>Adel</x:v>
      </x:c>
      <x:c r="J14" t="str">
        <x:v>Approved</x:v>
      </x:c>
    </x:row>
    <x:row r="15">
      <x:c r="A15" t="str">
        <x:v>EX-3014</x:v>
      </x:c>
      <x:c r="B15" s="10" t="n">
        <x:v>45853</x:v>
      </x:c>
      <x:c r="C15" t="str">
        <x:v>Operations</x:v>
      </x:c>
      <x:c r="D15" t="str">
        <x:v>Raw Materials</x:v>
      </x:c>
      <x:c r="E15" t="str">
        <x:v>Raw Materials cost - cycle 14</x:v>
      </x:c>
      <x:c r="F15" s="11" t="n">
        <x:v>6324</x:v>
      </x:c>
      <x:c r="G15" s="11" t="n">
        <x:v>6114</x:v>
      </x:c>
      <x:c r="H15" s="11" t="n">
        <x:v>-210</x:v>
      </x:c>
      <x:c r="I15" t="str">
        <x:v>Adel</x:v>
      </x:c>
      <x:c r="J15" t="str">
        <x:v>Approved</x:v>
      </x:c>
    </x:row>
    <x:row r="16">
      <x:c r="A16" t="str">
        <x:v>EX-3015</x:v>
      </x:c>
      <x:c r="B16" s="10" t="n">
        <x:v>45868</x:v>
      </x:c>
      <x:c r="C16" t="str">
        <x:v>HR</x:v>
      </x:c>
      <x:c r="D16" t="str">
        <x:v>Logistics</x:v>
      </x:c>
      <x:c r="E16" t="str">
        <x:v>Logistics cost - cycle 15</x:v>
      </x:c>
      <x:c r="F16" s="11" t="n">
        <x:v>6130</x:v>
      </x:c>
      <x:c r="G16" s="11" t="n">
        <x:v>5163</x:v>
      </x:c>
      <x:c r="H16" s="11" t="n">
        <x:v>-967</x:v>
      </x:c>
      <x:c r="I16" t="str">
        <x:v>Mona</x:v>
      </x:c>
      <x:c r="J16" t="str">
        <x:v>Approved</x:v>
      </x:c>
    </x:row>
    <x:row r="17">
      <x:c r="A17" t="str">
        <x:v>EX-3016</x:v>
      </x:c>
      <x:c r="B17" s="10" t="n">
        <x:v>45883</x:v>
      </x:c>
      <x:c r="C17" t="str">
        <x:v>IT</x:v>
      </x:c>
      <x:c r="D17" t="str">
        <x:v>Training</x:v>
      </x:c>
      <x:c r="E17" t="str">
        <x:v>Training cost - cycle 16</x:v>
      </x:c>
      <x:c r="F17" s="11" t="n">
        <x:v>9300</x:v>
      </x:c>
      <x:c r="G17" s="11" t="n">
        <x:v>11268</x:v>
      </x:c>
      <x:c r="H17" s="11" t="n">
        <x:v>1968</x:v>
      </x:c>
      <x:c r="I17" t="str">
        <x:v>Sara</x:v>
      </x:c>
      <x:c r="J17" t="str">
        <x:v>Approved</x:v>
      </x:c>
    </x:row>
    <x:row r="18">
      <x:c r="A18" t="str">
        <x:v>EX-3017</x:v>
      </x:c>
      <x:c r="B18" s="10" t="n">
        <x:v>45898</x:v>
      </x:c>
      <x:c r="C18" t="str">
        <x:v>Maintenance</x:v>
      </x:c>
      <x:c r="D18" t="str">
        <x:v>Payroll</x:v>
      </x:c>
      <x:c r="E18" t="str">
        <x:v>Payroll cost - cycle 17</x:v>
      </x:c>
      <x:c r="F18" s="11" t="n">
        <x:v>8650</x:v>
      </x:c>
      <x:c r="G18" s="11" t="n">
        <x:v>9156</x:v>
      </x:c>
      <x:c r="H18" s="11" t="n">
        <x:v>506</x:v>
      </x:c>
      <x:c r="I18" t="str">
        <x:v>Huda</x:v>
      </x:c>
      <x:c r="J18" t="str">
        <x:v>Approved</x:v>
      </x:c>
    </x:row>
    <x:row r="19">
      <x:c r="A19" t="str">
        <x:v>EX-3018</x:v>
      </x:c>
      <x:c r="B19" s="10" t="n">
        <x:v>45913</x:v>
      </x:c>
      <x:c r="C19" t="str">
        <x:v>Finance</x:v>
      </x:c>
      <x:c r="D19" t="str">
        <x:v>Payroll</x:v>
      </x:c>
      <x:c r="E19" t="str">
        <x:v>Payroll cost - cycle 18</x:v>
      </x:c>
      <x:c r="F19" s="11" t="n">
        <x:v>10312</x:v>
      </x:c>
      <x:c r="G19" s="11" t="n">
        <x:v>11141</x:v>
      </x:c>
      <x:c r="H19" s="11" t="n">
        <x:v>829</x:v>
      </x:c>
      <x:c r="I19" t="str">
        <x:v>Bilal</x:v>
      </x:c>
      <x:c r="J19" t="str">
        <x:v>Approved</x:v>
      </x:c>
    </x:row>
    <x:row r="20">
      <x:c r="A20" t="str">
        <x:v>EX-3019</x:v>
      </x:c>
      <x:c r="B20" s="10" t="n">
        <x:v>45928</x:v>
      </x:c>
      <x:c r="C20" t="str">
        <x:v>Operations</x:v>
      </x:c>
      <x:c r="D20" t="str">
        <x:v>Repairs</x:v>
      </x:c>
      <x:c r="E20" t="str">
        <x:v>Repairs cost - cycle 19</x:v>
      </x:c>
      <x:c r="F20" s="11" t="n">
        <x:v>6204</x:v>
      </x:c>
      <x:c r="G20" s="11" t="n">
        <x:v>5573</x:v>
      </x:c>
      <x:c r="H20" s="11" t="n">
        <x:v>-631</x:v>
      </x:c>
      <x:c r="I20" t="str">
        <x:v>Huda</x:v>
      </x:c>
      <x:c r="J20" t="str">
        <x:v>Approved</x:v>
      </x:c>
    </x:row>
    <x:row r="21">
      <x:c r="A21" t="str">
        <x:v>EX-3020</x:v>
      </x:c>
      <x:c r="B21" s="10" t="n">
        <x:v>45943</x:v>
      </x:c>
      <x:c r="C21" t="str">
        <x:v>HR</x:v>
      </x:c>
      <x:c r="D21" t="str">
        <x:v>Payroll</x:v>
      </x:c>
      <x:c r="E21" t="str">
        <x:v>Payroll cost - cycle 20</x:v>
      </x:c>
      <x:c r="F21" s="11" t="n">
        <x:v>1571</x:v>
      </x:c>
      <x:c r="G21" s="11" t="n">
        <x:v>1539</x:v>
      </x:c>
      <x:c r="H21" s="11" t="n">
        <x:v>-32</x:v>
      </x:c>
      <x:c r="I21" t="str">
        <x:v>Huda</x:v>
      </x:c>
      <x:c r="J21" t="str">
        <x:v>Approved</x:v>
      </x:c>
    </x:row>
    <x:row r="22">
      <x:c r="A22" t="str">
        <x:v>EX-3021</x:v>
      </x:c>
      <x:c r="B22" s="10" t="n">
        <x:v>45958</x:v>
      </x:c>
      <x:c r="C22" t="str">
        <x:v>Sales</x:v>
      </x:c>
      <x:c r="D22" t="str">
        <x:v>Travel</x:v>
      </x:c>
      <x:c r="E22" t="str">
        <x:v>Travel cost - cycle 21</x:v>
      </x:c>
      <x:c r="F22" s="11" t="n">
        <x:v>11208</x:v>
      </x:c>
      <x:c r="G22" s="11" t="n">
        <x:v>10980</x:v>
      </x:c>
      <x:c r="H22" s="11" t="n">
        <x:v>-228</x:v>
      </x:c>
      <x:c r="I22" t="str">
        <x:v>Sara</x:v>
      </x:c>
      <x:c r="J22" t="str">
        <x:v>Approved</x:v>
      </x:c>
    </x:row>
    <x:row r="23">
      <x:c r="A23" t="str">
        <x:v>EX-3022</x:v>
      </x:c>
      <x:c r="B23" s="10" t="n">
        <x:v>45973</x:v>
      </x:c>
      <x:c r="C23" t="str">
        <x:v>Sales</x:v>
      </x:c>
      <x:c r="D23" t="str">
        <x:v>Logistics</x:v>
      </x:c>
      <x:c r="E23" t="str">
        <x:v>Logistics cost - cycle 22</x:v>
      </x:c>
      <x:c r="F23" s="11" t="n">
        <x:v>5017</x:v>
      </x:c>
      <x:c r="G23" s="11" t="n">
        <x:v>6279</x:v>
      </x:c>
      <x:c r="H23" s="11" t="n">
        <x:v>1262</x:v>
      </x:c>
      <x:c r="I23" t="str">
        <x:v>Khaled</x:v>
      </x:c>
      <x:c r="J23" t="str">
        <x:v>Approved</x:v>
      </x:c>
    </x:row>
    <x:row r="24">
      <x:c r="A24" t="str">
        <x:v>EX-3023</x:v>
      </x:c>
      <x:c r="B24" s="10" t="n">
        <x:v>45988</x:v>
      </x:c>
      <x:c r="C24" t="str">
        <x:v>Operations</x:v>
      </x:c>
      <x:c r="D24" t="str">
        <x:v>Utilities</x:v>
      </x:c>
      <x:c r="E24" t="str">
        <x:v>Utilities cost - cycle 23</x:v>
      </x:c>
      <x:c r="F24" s="11" t="n">
        <x:v>9532</x:v>
      </x:c>
      <x:c r="G24" s="11" t="n">
        <x:v>11271</x:v>
      </x:c>
      <x:c r="H24" s="11" t="n">
        <x:v>1739</x:v>
      </x:c>
      <x:c r="I24" t="str">
        <x:v>Bilal</x:v>
      </x:c>
      <x:c r="J24" t="str">
        <x:v>Approved</x:v>
      </x:c>
    </x:row>
    <x:row r="25">
      <x:c r="A25" t="str">
        <x:v>EX-3024</x:v>
      </x:c>
      <x:c r="B25" s="10" t="n">
        <x:v>46003</x:v>
      </x:c>
      <x:c r="C25" t="str">
        <x:v>Operations</x:v>
      </x:c>
      <x:c r="D25" t="str">
        <x:v>Marketing</x:v>
      </x:c>
      <x:c r="E25" t="str">
        <x:v>Marketing cost - cycle 24</x:v>
      </x:c>
      <x:c r="F25" s="11" t="n">
        <x:v>7326</x:v>
      </x:c>
      <x:c r="G25" s="11" t="n">
        <x:v>6327</x:v>
      </x:c>
      <x:c r="H25" s="11" t="n">
        <x:v>-999</x:v>
      </x:c>
      <x:c r="I25" t="str">
        <x:v>Adel</x:v>
      </x:c>
      <x:c r="J25" t="str">
        <x:v>Approved</x:v>
      </x:c>
    </x:row>
    <x:row r="26">
      <x:c r="A26" t="str">
        <x:v>EX-3025</x:v>
      </x:c>
      <x:c r="B26" s="10" t="n">
        <x:v>46018</x:v>
      </x:c>
      <x:c r="C26" t="str">
        <x:v>Finance</x:v>
      </x:c>
      <x:c r="D26" t="str">
        <x:v>Utilities</x:v>
      </x:c>
      <x:c r="E26" t="str">
        <x:v>Utilities cost - cycle 25</x:v>
      </x:c>
      <x:c r="F26" s="11" t="n">
        <x:v>8416</x:v>
      </x:c>
      <x:c r="G26" s="11" t="n">
        <x:v>10340</x:v>
      </x:c>
      <x:c r="H26" s="11" t="n">
        <x:v>1924</x:v>
      </x:c>
      <x:c r="I26" t="str">
        <x:v>Huda</x:v>
      </x:c>
      <x:c r="J26" t="str">
        <x:v>Approved</x:v>
      </x:c>
    </x:row>
    <x:row r="27">
      <x:c r="A27" t="str">
        <x:v>EX-3026</x:v>
      </x:c>
      <x:c r="B27" s="10" t="n">
        <x:v>46033</x:v>
      </x:c>
      <x:c r="C27" t="str">
        <x:v>HR</x:v>
      </x:c>
      <x:c r="D27" t="str">
        <x:v>Logistics</x:v>
      </x:c>
      <x:c r="E27" t="str">
        <x:v>Logistics cost - cycle 26</x:v>
      </x:c>
      <x:c r="F27" s="11" t="n">
        <x:v>8513</x:v>
      </x:c>
      <x:c r="G27" s="11" t="n">
        <x:v>10509</x:v>
      </x:c>
      <x:c r="H27" s="11" t="n">
        <x:v>1996</x:v>
      </x:c>
      <x:c r="I27" t="str">
        <x:v>Sara</x:v>
      </x:c>
      <x:c r="J27" t="str">
        <x:v>Approved</x:v>
      </x:c>
    </x:row>
    <x:row r="28">
      <x:c r="A28" t="str">
        <x:v>EX-3027</x:v>
      </x:c>
      <x:c r="B28" s="10" t="n">
        <x:v>46048</x:v>
      </x:c>
      <x:c r="C28" t="str">
        <x:v>Finance</x:v>
      </x:c>
      <x:c r="D28" t="str">
        <x:v>Raw Materials</x:v>
      </x:c>
      <x:c r="E28" t="str">
        <x:v>Raw Materials cost - cycle 27</x:v>
      </x:c>
      <x:c r="F28" s="11" t="n">
        <x:v>9051</x:v>
      </x:c>
      <x:c r="G28" s="11" t="n">
        <x:v>7950</x:v>
      </x:c>
      <x:c r="H28" s="11" t="n">
        <x:v>-1101</x:v>
      </x:c>
      <x:c r="I28" t="str">
        <x:v>Sara</x:v>
      </x:c>
      <x:c r="J28" t="str">
        <x:v>Approved</x:v>
      </x:c>
    </x:row>
    <x:row r="29">
      <x:c r="A29" t="str">
        <x:v>EX-3028</x:v>
      </x:c>
      <x:c r="B29" s="10" t="n">
        <x:v>46063</x:v>
      </x:c>
      <x:c r="C29" t="str">
        <x:v>IT</x:v>
      </x:c>
      <x:c r="D29" t="str">
        <x:v>Payroll</x:v>
      </x:c>
      <x:c r="E29" t="str">
        <x:v>Payroll cost - cycle 28</x:v>
      </x:c>
      <x:c r="F29" s="11" t="n">
        <x:v>7209</x:v>
      </x:c>
      <x:c r="G29" s="11" t="n">
        <x:v>7839</x:v>
      </x:c>
      <x:c r="H29" s="11" t="n">
        <x:v>630</x:v>
      </x:c>
      <x:c r="I29" t="str">
        <x:v>Sara</x:v>
      </x:c>
      <x:c r="J29" t="str">
        <x:v>Approved</x:v>
      </x:c>
    </x:row>
    <x:row r="30">
      <x:c r="A30" t="str">
        <x:v>EX-3029</x:v>
      </x:c>
      <x:c r="B30" s="10" t="n">
        <x:v>46078</x:v>
      </x:c>
      <x:c r="C30" t="str">
        <x:v>Maintenance</x:v>
      </x:c>
      <x:c r="D30" t="str">
        <x:v>Training</x:v>
      </x:c>
      <x:c r="E30" t="str">
        <x:v>Training cost - cycle 29</x:v>
      </x:c>
      <x:c r="F30" s="11" t="n">
        <x:v>6797</x:v>
      </x:c>
      <x:c r="G30" s="11" t="n">
        <x:v>6103</x:v>
      </x:c>
      <x:c r="H30" s="11" t="n">
        <x:v>-694</x:v>
      </x:c>
      <x:c r="I30" t="str">
        <x:v>Adel</x:v>
      </x:c>
      <x:c r="J30" t="str">
        <x:v>Approved</x:v>
      </x:c>
    </x:row>
    <x:row r="31">
      <x:c r="A31" t="str">
        <x:v>EX-3030</x:v>
      </x:c>
      <x:c r="B31" s="10" t="n">
        <x:v>46093</x:v>
      </x:c>
      <x:c r="C31" t="str">
        <x:v>HR</x:v>
      </x:c>
      <x:c r="D31" t="str">
        <x:v>Repairs</x:v>
      </x:c>
      <x:c r="E31" t="str">
        <x:v>Repairs cost - cycle 30</x:v>
      </x:c>
      <x:c r="F31" s="11" t="n">
        <x:v>5285</x:v>
      </x:c>
      <x:c r="G31" s="11" t="n">
        <x:v>4640</x:v>
      </x:c>
      <x:c r="H31" s="11" t="n">
        <x:v>-645</x:v>
      </x:c>
      <x:c r="I31" t="str">
        <x:v>Adel</x:v>
      </x:c>
      <x:c r="J31" t="str">
        <x:v>Approved</x:v>
      </x:c>
    </x:row>
    <x:row r="32">
      <x:c r="A32" t="str">
        <x:v>EX-3031</x:v>
      </x:c>
      <x:c r="B32" s="10" t="n">
        <x:v>46108</x:v>
      </x:c>
      <x:c r="C32" t="str">
        <x:v>Finance</x:v>
      </x:c>
      <x:c r="D32" t="str">
        <x:v>Raw Materials</x:v>
      </x:c>
      <x:c r="E32" t="str">
        <x:v>Raw Materials cost - cycle 31</x:v>
      </x:c>
      <x:c r="F32" s="11" t="n">
        <x:v>9818</x:v>
      </x:c>
      <x:c r="G32" s="11" t="n">
        <x:v>8915</x:v>
      </x:c>
      <x:c r="H32" s="11" t="n">
        <x:v>-903</x:v>
      </x:c>
      <x:c r="I32" t="str">
        <x:v>Mona</x:v>
      </x:c>
      <x:c r="J32" t="str">
        <x:v>Approved</x:v>
      </x:c>
    </x:row>
    <x:row r="33">
      <x:c r="A33" t="str">
        <x:v>EX-3032</x:v>
      </x:c>
      <x:c r="B33" s="10" t="n">
        <x:v>46123</x:v>
      </x:c>
      <x:c r="C33" t="str">
        <x:v>IT</x:v>
      </x:c>
      <x:c r="D33" t="str">
        <x:v>Rent</x:v>
      </x:c>
      <x:c r="E33" t="str">
        <x:v>Rent cost - cycle 32</x:v>
      </x:c>
      <x:c r="F33" s="11" t="n">
        <x:v>4055</x:v>
      </x:c>
      <x:c r="G33" s="11" t="n">
        <x:v>5143</x:v>
      </x:c>
      <x:c r="H33" s="11" t="n">
        <x:v>1088</x:v>
      </x:c>
      <x:c r="I33" t="str">
        <x:v>Bilal</x:v>
      </x:c>
      <x:c r="J33" t="str">
        <x:v>Approved</x:v>
      </x:c>
    </x:row>
    <x:row r="34">
      <x:c r="A34" t="str">
        <x:v>EX-3033</x:v>
      </x:c>
      <x:c r="B34" s="10" t="n">
        <x:v>46138</x:v>
      </x:c>
      <x:c r="C34" t="str">
        <x:v>IT</x:v>
      </x:c>
      <x:c r="D34" t="str">
        <x:v>Marketing</x:v>
      </x:c>
      <x:c r="E34" t="str">
        <x:v>Marketing cost - cycle 33</x:v>
      </x:c>
      <x:c r="F34" s="11" t="n">
        <x:v>4136</x:v>
      </x:c>
      <x:c r="G34" s="11" t="n">
        <x:v>3840</x:v>
      </x:c>
      <x:c r="H34" s="11" t="n">
        <x:v>-296</x:v>
      </x:c>
      <x:c r="I34" t="str">
        <x:v>Khaled</x:v>
      </x:c>
      <x:c r="J34" t="str">
        <x:v>Approved</x:v>
      </x:c>
    </x:row>
    <x:row r="35">
      <x:c r="A35" t="str">
        <x:v>EX-3034</x:v>
      </x:c>
      <x:c r="B35" s="10" t="n">
        <x:v>46153</x:v>
      </x:c>
      <x:c r="C35" t="str">
        <x:v>Finance</x:v>
      </x:c>
      <x:c r="D35" t="str">
        <x:v>Utilities</x:v>
      </x:c>
      <x:c r="E35" t="str">
        <x:v>Utilities cost - cycle 34</x:v>
      </x:c>
      <x:c r="F35" s="11" t="n">
        <x:v>4196</x:v>
      </x:c>
      <x:c r="G35" s="11" t="n">
        <x:v>5298</x:v>
      </x:c>
      <x:c r="H35" s="11" t="n">
        <x:v>1102</x:v>
      </x:c>
      <x:c r="I35" t="str">
        <x:v>Huda</x:v>
      </x:c>
      <x:c r="J35" t="str">
        <x:v>Approved</x:v>
      </x:c>
    </x:row>
    <x:row r="36">
      <x:c r="A36" t="str">
        <x:v>EX-3035</x:v>
      </x:c>
      <x:c r="B36" s="10" t="n">
        <x:v>46168</x:v>
      </x:c>
      <x:c r="C36" t="str">
        <x:v>Sales</x:v>
      </x:c>
      <x:c r="D36" t="str">
        <x:v>Rent</x:v>
      </x:c>
      <x:c r="E36" t="str">
        <x:v>Rent cost - cycle 35</x:v>
      </x:c>
      <x:c r="F36" s="11" t="n">
        <x:v>6449</x:v>
      </x:c>
      <x:c r="G36" s="11" t="n">
        <x:v>7463</x:v>
      </x:c>
      <x:c r="H36" s="11" t="n">
        <x:v>1014</x:v>
      </x:c>
      <x:c r="I36" t="str">
        <x:v>Adel</x:v>
      </x:c>
      <x:c r="J36" t="str">
        <x:v>Approved</x:v>
      </x:c>
    </x:row>
    <x:row r="37">
      <x:c r="A37" t="str">
        <x:v>EX-3036</x:v>
      </x:c>
      <x:c r="B37" s="10" t="n">
        <x:v>46183</x:v>
      </x:c>
      <x:c r="C37" t="str">
        <x:v>Operations</x:v>
      </x:c>
      <x:c r="D37" t="str">
        <x:v>Utilities</x:v>
      </x:c>
      <x:c r="E37" t="str">
        <x:v>Utilities cost - cycle 36</x:v>
      </x:c>
      <x:c r="F37" s="11" t="n">
        <x:v>6100</x:v>
      </x:c>
      <x:c r="G37" s="11" t="n">
        <x:v>5581</x:v>
      </x:c>
      <x:c r="H37" s="11" t="n">
        <x:v>-519</x:v>
      </x:c>
      <x:c r="I37" t="str">
        <x:v>Adel</x:v>
      </x:c>
      <x:c r="J37" t="str">
        <x:v>Approved</x:v>
      </x:c>
    </x:row>
    <x:row r="38">
      <x:c r="A38" t="str">
        <x:v>EX-3037</x:v>
      </x:c>
      <x:c r="B38" s="10" t="n">
        <x:v>46198</x:v>
      </x:c>
      <x:c r="C38" t="str">
        <x:v>Operations</x:v>
      </x:c>
      <x:c r="D38" t="str">
        <x:v>Software</x:v>
      </x:c>
      <x:c r="E38" t="str">
        <x:v>Software cost - cycle 37</x:v>
      </x:c>
      <x:c r="F38" s="11" t="n">
        <x:v>8652</x:v>
      </x:c>
      <x:c r="G38" s="11" t="n">
        <x:v>9854</x:v>
      </x:c>
      <x:c r="H38" s="11" t="n">
        <x:v>1202</x:v>
      </x:c>
      <x:c r="I38" t="str">
        <x:v>Sara</x:v>
      </x:c>
      <x:c r="J38" t="str">
        <x:v>Approved</x:v>
      </x:c>
    </x:row>
    <x:row r="39">
      <x:c r="A39" t="str">
        <x:v>EX-3038</x:v>
      </x:c>
      <x:c r="B39" s="10" t="n">
        <x:v>46213</x:v>
      </x:c>
      <x:c r="C39" t="str">
        <x:v>HR</x:v>
      </x:c>
      <x:c r="D39" t="str">
        <x:v>Travel</x:v>
      </x:c>
      <x:c r="E39" t="str">
        <x:v>Travel cost - cycle 38</x:v>
      </x:c>
      <x:c r="F39" s="11" t="n">
        <x:v>1862</x:v>
      </x:c>
      <x:c r="G39" s="11" t="n">
        <x:v>1648</x:v>
      </x:c>
      <x:c r="H39" s="11" t="n">
        <x:v>-214</x:v>
      </x:c>
      <x:c r="I39" t="str">
        <x:v>Sara</x:v>
      </x:c>
      <x:c r="J39" t="str">
        <x:v>Approved</x:v>
      </x:c>
    </x:row>
    <x:row r="40">
      <x:c r="A40" t="str">
        <x:v>EX-3039</x:v>
      </x:c>
      <x:c r="B40" s="10" t="n">
        <x:v>46228</x:v>
      </x:c>
      <x:c r="C40" t="str">
        <x:v>Operations</x:v>
      </x:c>
      <x:c r="D40" t="str">
        <x:v>Raw Materials</x:v>
      </x:c>
      <x:c r="E40" t="str">
        <x:v>Raw Materials cost - cycle 39</x:v>
      </x:c>
      <x:c r="F40" s="11" t="n">
        <x:v>8545</x:v>
      </x:c>
      <x:c r="G40" s="11" t="n">
        <x:v>9762</x:v>
      </x:c>
      <x:c r="H40" s="11" t="n">
        <x:v>1217</x:v>
      </x:c>
      <x:c r="I40" t="str">
        <x:v>Sara</x:v>
      </x:c>
      <x:c r="J40" t="str">
        <x:v>Approved</x:v>
      </x:c>
    </x:row>
    <x:row r="41">
      <x:c r="A41" t="str">
        <x:v>EX-3040</x:v>
      </x:c>
      <x:c r="B41" s="10" t="n">
        <x:v>46243</x:v>
      </x:c>
      <x:c r="C41" t="str">
        <x:v>Maintenance</x:v>
      </x:c>
      <x:c r="D41" t="str">
        <x:v>Raw Materials</x:v>
      </x:c>
      <x:c r="E41" t="str">
        <x:v>Raw Materials cost - cycle 40</x:v>
      </x:c>
      <x:c r="F41" s="11" t="n">
        <x:v>11064</x:v>
      </x:c>
      <x:c r="G41" s="11" t="n">
        <x:v>13410</x:v>
      </x:c>
      <x:c r="H41" s="11" t="n">
        <x:v>2346</x:v>
      </x:c>
      <x:c r="I41" t="str">
        <x:v>Bilal</x:v>
      </x:c>
      <x:c r="J41" t="str">
        <x:v>Approved</x:v>
      </x:c>
    </x:row>
    <x:row r="42">
      <x:c r="A42" t="str">
        <x:v>EX-3041</x:v>
      </x:c>
      <x:c r="B42" s="10" t="n">
        <x:v>46258</x:v>
      </x:c>
      <x:c r="C42" t="str">
        <x:v>Operations</x:v>
      </x:c>
      <x:c r="D42" t="str">
        <x:v>Travel</x:v>
      </x:c>
      <x:c r="E42" t="str">
        <x:v>Travel cost - cycle 41</x:v>
      </x:c>
      <x:c r="F42" s="11" t="n">
        <x:v>8586</x:v>
      </x:c>
      <x:c r="G42" s="11" t="n">
        <x:v>8276</x:v>
      </x:c>
      <x:c r="H42" s="11" t="n">
        <x:v>-310</x:v>
      </x:c>
      <x:c r="I42" t="str">
        <x:v>Bilal</x:v>
      </x:c>
      <x:c r="J42" t="str">
        <x:v>Approved</x:v>
      </x:c>
    </x:row>
    <x:row r="43">
      <x:c r="A43" t="str">
        <x:v>EX-3042</x:v>
      </x:c>
      <x:c r="B43" s="10" t="n">
        <x:v>46273</x:v>
      </x:c>
      <x:c r="C43" t="str">
        <x:v>Maintenance</x:v>
      </x:c>
      <x:c r="D43" t="str">
        <x:v>Raw Materials</x:v>
      </x:c>
      <x:c r="E43" t="str">
        <x:v>Raw Materials cost - cycle 42</x:v>
      </x:c>
      <x:c r="F43" s="11" t="n">
        <x:v>8055</x:v>
      </x:c>
      <x:c r="G43" s="11" t="n">
        <x:v>9247</x:v>
      </x:c>
      <x:c r="H43" s="11" t="n">
        <x:v>1192</x:v>
      </x:c>
      <x:c r="I43" t="str">
        <x:v>Bilal</x:v>
      </x:c>
      <x:c r="J43" t="str">
        <x:v>Approved</x:v>
      </x:c>
    </x:row>
    <x:row r="44">
      <x:c r="A44" t="str">
        <x:v>EX-3043</x:v>
      </x:c>
      <x:c r="B44" s="10" t="n">
        <x:v>46288</x:v>
      </x:c>
      <x:c r="C44" t="str">
        <x:v>Maintenance</x:v>
      </x:c>
      <x:c r="D44" t="str">
        <x:v>Travel</x:v>
      </x:c>
      <x:c r="E44" t="str">
        <x:v>Travel cost - cycle 43</x:v>
      </x:c>
      <x:c r="F44" s="11" t="n">
        <x:v>8957</x:v>
      </x:c>
      <x:c r="G44" s="11" t="n">
        <x:v>7425</x:v>
      </x:c>
      <x:c r="H44" s="11" t="n">
        <x:v>-1532</x:v>
      </x:c>
      <x:c r="I44" t="str">
        <x:v>Adel</x:v>
      </x:c>
      <x:c r="J44" t="str">
        <x:v>Approved</x:v>
      </x:c>
    </x:row>
    <x:row r="45">
      <x:c r="A45" t="str">
        <x:v>EX-3044</x:v>
      </x:c>
      <x:c r="B45" s="10" t="n">
        <x:v>46303</x:v>
      </x:c>
      <x:c r="C45" t="str">
        <x:v>Finance</x:v>
      </x:c>
      <x:c r="D45" t="str">
        <x:v>Rent</x:v>
      </x:c>
      <x:c r="E45" t="str">
        <x:v>Rent cost - cycle 44</x:v>
      </x:c>
      <x:c r="F45" s="11" t="n">
        <x:v>6874</x:v>
      </x:c>
      <x:c r="G45" s="11" t="n">
        <x:v>8097</x:v>
      </x:c>
      <x:c r="H45" s="11" t="n">
        <x:v>1223</x:v>
      </x:c>
      <x:c r="I45" t="str">
        <x:v>Adel</x:v>
      </x:c>
      <x:c r="J45" t="str">
        <x:v>Approved</x:v>
      </x:c>
    </x:row>
    <x:row r="46">
      <x:c r="A46" t="str">
        <x:v>EX-3045</x:v>
      </x:c>
      <x:c r="B46" s="10" t="n">
        <x:v>46318</x:v>
      </x:c>
      <x:c r="C46" t="str">
        <x:v>Operations</x:v>
      </x:c>
      <x:c r="D46" t="str">
        <x:v>Payroll</x:v>
      </x:c>
      <x:c r="E46" t="str">
        <x:v>Payroll cost - cycle 45</x:v>
      </x:c>
      <x:c r="F46" s="11" t="n">
        <x:v>5616</x:v>
      </x:c>
      <x:c r="G46" s="11" t="n">
        <x:v>6008</x:v>
      </x:c>
      <x:c r="H46" s="11" t="n">
        <x:v>392</x:v>
      </x:c>
      <x:c r="I46" t="str">
        <x:v>Khaled</x:v>
      </x:c>
      <x:c r="J46" t="str">
        <x:v>Approved</x:v>
      </x:c>
    </x:row>
    <x:row r="47">
      <x:c r="A47" t="str">
        <x:v>EX-3046</x:v>
      </x:c>
      <x:c r="B47" s="10" t="n">
        <x:v>46333</x:v>
      </x:c>
      <x:c r="C47" t="str">
        <x:v>Sales</x:v>
      </x:c>
      <x:c r="D47" t="str">
        <x:v>Training</x:v>
      </x:c>
      <x:c r="E47" t="str">
        <x:v>Training cost - cycle 46</x:v>
      </x:c>
      <x:c r="F47" s="11" t="n">
        <x:v>7205</x:v>
      </x:c>
      <x:c r="G47" s="11" t="n">
        <x:v>6243</x:v>
      </x:c>
      <x:c r="H47" s="11" t="n">
        <x:v>-962</x:v>
      </x:c>
      <x:c r="I47" t="str">
        <x:v>Sara</x:v>
      </x:c>
      <x:c r="J47" t="str">
        <x:v>Approved</x:v>
      </x:c>
    </x:row>
    <x:row r="48">
      <x:c r="A48" t="str">
        <x:v>EX-3047</x:v>
      </x:c>
      <x:c r="B48" s="10" t="n">
        <x:v>46348</x:v>
      </x:c>
      <x:c r="C48" t="str">
        <x:v>Sales</x:v>
      </x:c>
      <x:c r="D48" t="str">
        <x:v>Travel</x:v>
      </x:c>
      <x:c r="E48" t="str">
        <x:v>Travel cost - cycle 47</x:v>
      </x:c>
      <x:c r="F48" s="11" t="n">
        <x:v>9891</x:v>
      </x:c>
      <x:c r="G48" s="11" t="n">
        <x:v>8183</x:v>
      </x:c>
      <x:c r="H48" s="11" t="n">
        <x:v>-1708</x:v>
      </x:c>
      <x:c r="I48" t="str">
        <x:v>Mona</x:v>
      </x:c>
      <x:c r="J48" t="str">
        <x:v>Approved</x:v>
      </x:c>
    </x:row>
    <x:row r="49">
      <x:c r="A49" t="str">
        <x:v>EX-3048</x:v>
      </x:c>
      <x:c r="B49" s="10" t="n">
        <x:v>46363</x:v>
      </x:c>
      <x:c r="C49" t="str">
        <x:v>Maintenance</x:v>
      </x:c>
      <x:c r="D49" t="str">
        <x:v>Travel</x:v>
      </x:c>
      <x:c r="E49" t="str">
        <x:v>Travel cost - cycle 48</x:v>
      </x:c>
      <x:c r="F49" s="11" t="n">
        <x:v>4942</x:v>
      </x:c>
      <x:c r="G49" s="11" t="n">
        <x:v>6303</x:v>
      </x:c>
      <x:c r="H49" s="11" t="n">
        <x:v>1361</x:v>
      </x:c>
      <x:c r="I49" t="str">
        <x:v>Khaled</x:v>
      </x:c>
      <x:c r="J49" t="str">
        <x:v>Approved</x:v>
      </x:c>
    </x:row>
    <x:row r="50">
      <x:c r="A50" t="str">
        <x:v>EX-3049</x:v>
      </x:c>
      <x:c r="B50" s="10" t="n">
        <x:v>46378</x:v>
      </x:c>
      <x:c r="C50" t="str">
        <x:v>Operations</x:v>
      </x:c>
      <x:c r="D50" t="str">
        <x:v>Repairs</x:v>
      </x:c>
      <x:c r="E50" t="str">
        <x:v>Repairs cost - cycle 49</x:v>
      </x:c>
      <x:c r="F50" s="11" t="n">
        <x:v>7324</x:v>
      </x:c>
      <x:c r="G50" s="11" t="n">
        <x:v>8153</x:v>
      </x:c>
      <x:c r="H50" s="11" t="n">
        <x:v>829</x:v>
      </x:c>
      <x:c r="I50" t="str">
        <x:v>Mona</x:v>
      </x:c>
      <x:c r="J50" t="str">
        <x:v>Approved</x:v>
      </x:c>
    </x:row>
    <x:row r="51">
      <x:c r="A51" t="str">
        <x:v>EX-3050</x:v>
      </x:c>
      <x:c r="B51" s="10" t="n">
        <x:v>46393</x:v>
      </x:c>
      <x:c r="C51" t="str">
        <x:v>Maintenance</x:v>
      </x:c>
      <x:c r="D51" t="str">
        <x:v>Payroll</x:v>
      </x:c>
      <x:c r="E51" t="str">
        <x:v>Payroll cost - cycle 50</x:v>
      </x:c>
      <x:c r="F51" s="11" t="n">
        <x:v>1718</x:v>
      </x:c>
      <x:c r="G51" s="11" t="n">
        <x:v>1468</x:v>
      </x:c>
      <x:c r="H51" s="11" t="n">
        <x:v>-250</x:v>
      </x:c>
      <x:c r="I51" t="str">
        <x:v>Adel</x:v>
      </x:c>
      <x:c r="J51" t="str">
        <x:v>Approved</x:v>
      </x:c>
    </x:row>
    <x:row r="52">
      <x:c r="A52" t="str">
        <x:v>EX-3051</x:v>
      </x:c>
      <x:c r="B52" s="10" t="n">
        <x:v>46408</x:v>
      </x:c>
      <x:c r="C52" t="str">
        <x:v>Finance</x:v>
      </x:c>
      <x:c r="D52" t="str">
        <x:v>Marketing</x:v>
      </x:c>
      <x:c r="E52" t="str">
        <x:v>Marketing cost - cycle 51</x:v>
      </x:c>
      <x:c r="F52" s="11" t="n">
        <x:v>11005</x:v>
      </x:c>
      <x:c r="G52" s="11" t="n">
        <x:v>10366</x:v>
      </x:c>
      <x:c r="H52" s="11" t="n">
        <x:v>-639</x:v>
      </x:c>
      <x:c r="I52" t="str">
        <x:v>Khaled</x:v>
      </x:c>
      <x:c r="J52" t="str">
        <x:v>Approved</x:v>
      </x:c>
    </x:row>
    <x:row r="53">
      <x:c r="A53" t="str">
        <x:v>EX-3052</x:v>
      </x:c>
      <x:c r="B53" s="10" t="n">
        <x:v>46423</x:v>
      </x:c>
      <x:c r="C53" t="str">
        <x:v>Maintenance</x:v>
      </x:c>
      <x:c r="D53" t="str">
        <x:v>Training</x:v>
      </x:c>
      <x:c r="E53" t="str">
        <x:v>Training cost - cycle 52</x:v>
      </x:c>
      <x:c r="F53" s="11" t="n">
        <x:v>5086</x:v>
      </x:c>
      <x:c r="G53" s="11" t="n">
        <x:v>6496</x:v>
      </x:c>
      <x:c r="H53" s="11" t="n">
        <x:v>1410</x:v>
      </x:c>
      <x:c r="I53" t="str">
        <x:v>Adel</x:v>
      </x:c>
      <x:c r="J53" t="str">
        <x:v>Approved</x:v>
      </x:c>
    </x:row>
    <x:row r="54">
      <x:c r="A54" t="str">
        <x:v>EX-3053</x:v>
      </x:c>
      <x:c r="B54" s="10" t="n">
        <x:v>46438</x:v>
      </x:c>
      <x:c r="C54" t="str">
        <x:v>Sales</x:v>
      </x:c>
      <x:c r="D54" t="str">
        <x:v>Rent</x:v>
      </x:c>
      <x:c r="E54" t="str">
        <x:v>Rent cost - cycle 53</x:v>
      </x:c>
      <x:c r="F54" s="11" t="n">
        <x:v>2628</x:v>
      </x:c>
      <x:c r="G54" s="11" t="n">
        <x:v>3133</x:v>
      </x:c>
      <x:c r="H54" s="11" t="n">
        <x:v>505</x:v>
      </x:c>
      <x:c r="I54" t="str">
        <x:v>Bilal</x:v>
      </x:c>
      <x:c r="J54" t="str">
        <x:v>Approved</x:v>
      </x:c>
    </x:row>
    <x:row r="55">
      <x:c r="A55" t="str">
        <x:v>EX-3054</x:v>
      </x:c>
      <x:c r="B55" s="10" t="n">
        <x:v>46453</x:v>
      </x:c>
      <x:c r="C55" t="str">
        <x:v>Finance</x:v>
      </x:c>
      <x:c r="D55" t="str">
        <x:v>Training</x:v>
      </x:c>
      <x:c r="E55" t="str">
        <x:v>Training cost - cycle 54</x:v>
      </x:c>
      <x:c r="F55" s="11" t="n">
        <x:v>5202</x:v>
      </x:c>
      <x:c r="G55" s="11" t="n">
        <x:v>6215</x:v>
      </x:c>
      <x:c r="H55" s="11" t="n">
        <x:v>1013</x:v>
      </x:c>
      <x:c r="I55" t="str">
        <x:v>Khaled</x:v>
      </x:c>
      <x:c r="J55" t="str">
        <x:v>Approved</x:v>
      </x:c>
    </x:row>
    <x:row r="56">
      <x:c r="A56" t="str">
        <x:v>EX-3055</x:v>
      </x:c>
      <x:c r="B56" s="10" t="n">
        <x:v>46468</x:v>
      </x:c>
      <x:c r="C56" t="str">
        <x:v>Finance</x:v>
      </x:c>
      <x:c r="D56" t="str">
        <x:v>Software</x:v>
      </x:c>
      <x:c r="E56" t="str">
        <x:v>Software cost - cycle 55</x:v>
      </x:c>
      <x:c r="F56" s="11" t="n">
        <x:v>9169</x:v>
      </x:c>
      <x:c r="G56" s="11" t="n">
        <x:v>11720</x:v>
      </x:c>
      <x:c r="H56" s="11" t="n">
        <x:v>2551</x:v>
      </x:c>
      <x:c r="I56" t="str">
        <x:v>Sara</x:v>
      </x:c>
      <x:c r="J56" t="str">
        <x:v>Approved</x:v>
      </x:c>
    </x:row>
    <x:row r="57">
      <x:c r="A57" t="str">
        <x:v>EX-3056</x:v>
      </x:c>
      <x:c r="B57" s="10" t="n">
        <x:v>46483</x:v>
      </x:c>
      <x:c r="C57" t="str">
        <x:v>Maintenance</x:v>
      </x:c>
      <x:c r="D57" t="str">
        <x:v>Marketing</x:v>
      </x:c>
      <x:c r="E57" t="str">
        <x:v>Marketing cost - cycle 56</x:v>
      </x:c>
      <x:c r="F57" s="11" t="n">
        <x:v>5275</x:v>
      </x:c>
      <x:c r="G57" s="11" t="n">
        <x:v>4974</x:v>
      </x:c>
      <x:c r="H57" s="11" t="n">
        <x:v>-301</x:v>
      </x:c>
      <x:c r="I57" t="str">
        <x:v>Adel</x:v>
      </x:c>
      <x:c r="J57" t="str">
        <x:v>Approved</x:v>
      </x:c>
    </x:row>
    <x:row r="58">
      <x:c r="A58" t="str">
        <x:v>EX-3057</x:v>
      </x:c>
      <x:c r="B58" s="10" t="n">
        <x:v>46498</x:v>
      </x:c>
      <x:c r="C58" t="str">
        <x:v>Maintenance</x:v>
      </x:c>
      <x:c r="D58" t="str">
        <x:v>Rent</x:v>
      </x:c>
      <x:c r="E58" t="str">
        <x:v>Rent cost - cycle 57</x:v>
      </x:c>
      <x:c r="F58" s="11" t="n">
        <x:v>9390</x:v>
      </x:c>
      <x:c r="G58" s="11" t="n">
        <x:v>7711</x:v>
      </x:c>
      <x:c r="H58" s="11" t="n">
        <x:v>-1679</x:v>
      </x:c>
      <x:c r="I58" t="str">
        <x:v>Bilal</x:v>
      </x:c>
      <x:c r="J58" t="str">
        <x:v>Approved</x:v>
      </x:c>
    </x:row>
    <x:row r="59">
      <x:c r="A59" t="str">
        <x:v>EX-3058</x:v>
      </x:c>
      <x:c r="B59" s="10" t="n">
        <x:v>46513</x:v>
      </x:c>
      <x:c r="C59" t="str">
        <x:v>HR</x:v>
      </x:c>
      <x:c r="D59" t="str">
        <x:v>Raw Materials</x:v>
      </x:c>
      <x:c r="E59" t="str">
        <x:v>Raw Materials cost - cycle 58</x:v>
      </x:c>
      <x:c r="F59" s="11" t="n">
        <x:v>6445</x:v>
      </x:c>
      <x:c r="G59" s="11" t="n">
        <x:v>6234</x:v>
      </x:c>
      <x:c r="H59" s="11" t="n">
        <x:v>-211</x:v>
      </x:c>
      <x:c r="I59" t="str">
        <x:v>Adel</x:v>
      </x:c>
      <x:c r="J59" t="str">
        <x:v>Approved</x:v>
      </x:c>
    </x:row>
    <x:row r="60">
      <x:c r="A60" t="str">
        <x:v>EX-3059</x:v>
      </x:c>
      <x:c r="B60" s="10" t="n">
        <x:v>46528</x:v>
      </x:c>
      <x:c r="C60" t="str">
        <x:v>Finance</x:v>
      </x:c>
      <x:c r="D60" t="str">
        <x:v>Utilities</x:v>
      </x:c>
      <x:c r="E60" t="str">
        <x:v>Utilities cost - cycle 59</x:v>
      </x:c>
      <x:c r="F60" s="11" t="n">
        <x:v>7438</x:v>
      </x:c>
      <x:c r="G60" s="11" t="n">
        <x:v>6621</x:v>
      </x:c>
      <x:c r="H60" s="11" t="n">
        <x:v>-817</x:v>
      </x:c>
      <x:c r="I60" t="str">
        <x:v>Mona</x:v>
      </x:c>
      <x:c r="J60" t="str">
        <x:v>Approved</x:v>
      </x:c>
    </x:row>
    <x:row r="61">
      <x:c r="A61" t="str">
        <x:v>EX-3060</x:v>
      </x:c>
      <x:c r="B61" s="10" t="n">
        <x:v>46543</x:v>
      </x:c>
      <x:c r="C61" t="str">
        <x:v>Operations</x:v>
      </x:c>
      <x:c r="D61" t="str">
        <x:v>Utilities</x:v>
      </x:c>
      <x:c r="E61" t="str">
        <x:v>Utilities cost - cycle 60</x:v>
      </x:c>
      <x:c r="F61" s="11" t="n">
        <x:v>10750</x:v>
      </x:c>
      <x:c r="G61" s="11" t="n">
        <x:v>13294</x:v>
      </x:c>
      <x:c r="H61" s="11" t="n">
        <x:v>2544</x:v>
      </x:c>
      <x:c r="I61" t="str">
        <x:v>Khaled</x:v>
      </x:c>
      <x:c r="J61" t="str">
        <x:v>Approved</x:v>
      </x:c>
    </x:row>
    <x:row r="62">
      <x:c r="A62" t="str">
        <x:v>EX-3061</x:v>
      </x:c>
      <x:c r="B62" s="10" t="n">
        <x:v>46558</x:v>
      </x:c>
      <x:c r="C62" t="str">
        <x:v>HR</x:v>
      </x:c>
      <x:c r="D62" t="str">
        <x:v>Repairs</x:v>
      </x:c>
      <x:c r="E62" t="str">
        <x:v>Repairs cost - cycle 61</x:v>
      </x:c>
      <x:c r="F62" s="11" t="n">
        <x:v>1745</x:v>
      </x:c>
      <x:c r="G62" s="11" t="n">
        <x:v>1958</x:v>
      </x:c>
      <x:c r="H62" s="11" t="n">
        <x:v>213</x:v>
      </x:c>
      <x:c r="I62" t="str">
        <x:v>Khaled</x:v>
      </x:c>
      <x:c r="J62" t="str">
        <x:v>Approved</x:v>
      </x:c>
    </x:row>
    <x:row r="63">
      <x:c r="A63" t="str">
        <x:v>EX-3062</x:v>
      </x:c>
      <x:c r="B63" s="10" t="n">
        <x:v>46573</x:v>
      </x:c>
      <x:c r="C63" t="str">
        <x:v>Finance</x:v>
      </x:c>
      <x:c r="D63" t="str">
        <x:v>Logistics</x:v>
      </x:c>
      <x:c r="E63" t="str">
        <x:v>Logistics cost - cycle 62</x:v>
      </x:c>
      <x:c r="F63" s="11" t="n">
        <x:v>5596</x:v>
      </x:c>
      <x:c r="G63" s="11" t="n">
        <x:v>6154</x:v>
      </x:c>
      <x:c r="H63" s="11" t="n">
        <x:v>558</x:v>
      </x:c>
      <x:c r="I63" t="str">
        <x:v>Sara</x:v>
      </x:c>
      <x:c r="J63" t="str">
        <x:v>Approved</x:v>
      </x:c>
    </x:row>
    <x:row r="64">
      <x:c r="A64" t="str">
        <x:v>EX-3063</x:v>
      </x:c>
      <x:c r="B64" s="10" t="n">
        <x:v>46588</x:v>
      </x:c>
      <x:c r="C64" t="str">
        <x:v>Sales</x:v>
      </x:c>
      <x:c r="D64" t="str">
        <x:v>Rent</x:v>
      </x:c>
      <x:c r="E64" t="str">
        <x:v>Rent cost - cycle 63</x:v>
      </x:c>
      <x:c r="F64" s="11" t="n">
        <x:v>8904</x:v>
      </x:c>
      <x:c r="G64" s="11" t="n">
        <x:v>8720</x:v>
      </x:c>
      <x:c r="H64" s="11" t="n">
        <x:v>-184</x:v>
      </x:c>
      <x:c r="I64" t="str">
        <x:v>Khaled</x:v>
      </x:c>
      <x:c r="J64" t="str">
        <x:v>Approved</x:v>
      </x:c>
    </x:row>
    <x:row r="65">
      <x:c r="A65" t="str">
        <x:v>EX-3064</x:v>
      </x:c>
      <x:c r="B65" s="10" t="n">
        <x:v>46603</x:v>
      </x:c>
      <x:c r="C65" t="str">
        <x:v>Maintenance</x:v>
      </x:c>
      <x:c r="D65" t="str">
        <x:v>Training</x:v>
      </x:c>
      <x:c r="E65" t="str">
        <x:v>Training cost - cycle 64</x:v>
      </x:c>
      <x:c r="F65" s="11" t="n">
        <x:v>4251</x:v>
      </x:c>
      <x:c r="G65" s="11" t="n">
        <x:v>4677</x:v>
      </x:c>
      <x:c r="H65" s="11" t="n">
        <x:v>426</x:v>
      </x:c>
      <x:c r="I65" t="str">
        <x:v>Bilal</x:v>
      </x:c>
      <x:c r="J65" t="str">
        <x:v>Approved</x:v>
      </x:c>
    </x:row>
    <x:row r="66">
      <x:c r="A66" t="str">
        <x:v>EX-3065</x:v>
      </x:c>
      <x:c r="B66" s="10" t="n">
        <x:v>46618</x:v>
      </x:c>
      <x:c r="C66" t="str">
        <x:v>Operations</x:v>
      </x:c>
      <x:c r="D66" t="str">
        <x:v>Training</x:v>
      </x:c>
      <x:c r="E66" t="str">
        <x:v>Training cost - cycle 65</x:v>
      </x:c>
      <x:c r="F66" s="11" t="n">
        <x:v>11929</x:v>
      </x:c>
      <x:c r="G66" s="11" t="n">
        <x:v>14384</x:v>
      </x:c>
      <x:c r="H66" s="11" t="n">
        <x:v>2455</x:v>
      </x:c>
      <x:c r="I66" t="str">
        <x:v>Khaled</x:v>
      </x:c>
      <x:c r="J66" t="str">
        <x:v>Approved</x:v>
      </x:c>
    </x:row>
    <x:row r="67">
      <x:c r="A67" t="str">
        <x:v>EX-3066</x:v>
      </x:c>
      <x:c r="B67" s="10" t="n">
        <x:v>46633</x:v>
      </x:c>
      <x:c r="C67" t="str">
        <x:v>Sales</x:v>
      </x:c>
      <x:c r="D67" t="str">
        <x:v>Training</x:v>
      </x:c>
      <x:c r="E67" t="str">
        <x:v>Training cost - cycle 66</x:v>
      </x:c>
      <x:c r="F67" s="11" t="n">
        <x:v>2788</x:v>
      </x:c>
      <x:c r="G67" s="11" t="n">
        <x:v>3237</x:v>
      </x:c>
      <x:c r="H67" s="11" t="n">
        <x:v>449</x:v>
      </x:c>
      <x:c r="I67" t="str">
        <x:v>Adel</x:v>
      </x:c>
      <x:c r="J67" t="str">
        <x:v>Approved</x:v>
      </x:c>
    </x:row>
    <x:row r="68">
      <x:c r="A68" t="str">
        <x:v>EX-3067</x:v>
      </x:c>
      <x:c r="B68" s="10" t="n">
        <x:v>46648</x:v>
      </x:c>
      <x:c r="C68" t="str">
        <x:v>Operations</x:v>
      </x:c>
      <x:c r="D68" t="str">
        <x:v>Training</x:v>
      </x:c>
      <x:c r="E68" t="str">
        <x:v>Training cost - cycle 67</x:v>
      </x:c>
      <x:c r="F68" s="11" t="n">
        <x:v>3440</x:v>
      </x:c>
      <x:c r="G68" s="11" t="n">
        <x:v>3239</x:v>
      </x:c>
      <x:c r="H68" s="11" t="n">
        <x:v>-201</x:v>
      </x:c>
      <x:c r="I68" t="str">
        <x:v>Khaled</x:v>
      </x:c>
      <x:c r="J68" t="str">
        <x:v>Approved</x:v>
      </x:c>
    </x:row>
    <x:row r="69">
      <x:c r="A69" t="str">
        <x:v>EX-3068</x:v>
      </x:c>
      <x:c r="B69" s="10" t="n">
        <x:v>46663</x:v>
      </x:c>
      <x:c r="C69" t="str">
        <x:v>Maintenance</x:v>
      </x:c>
      <x:c r="D69" t="str">
        <x:v>Travel</x:v>
      </x:c>
      <x:c r="E69" t="str">
        <x:v>Travel cost - cycle 68</x:v>
      </x:c>
      <x:c r="F69" s="11" t="n">
        <x:v>10629</x:v>
      </x:c>
      <x:c r="G69" s="11" t="n">
        <x:v>9001</x:v>
      </x:c>
      <x:c r="H69" s="11" t="n">
        <x:v>-1628</x:v>
      </x:c>
      <x:c r="I69" t="str">
        <x:v>Adel</x:v>
      </x:c>
      <x:c r="J69" t="str">
        <x:v>Approved</x:v>
      </x:c>
    </x:row>
    <x:row r="70">
      <x:c r="A70" t="str">
        <x:v>EX-3069</x:v>
      </x:c>
      <x:c r="B70" s="10" t="n">
        <x:v>46678</x:v>
      </x:c>
      <x:c r="C70" t="str">
        <x:v>Finance</x:v>
      </x:c>
      <x:c r="D70" t="str">
        <x:v>Travel</x:v>
      </x:c>
      <x:c r="E70" t="str">
        <x:v>Travel cost - cycle 69</x:v>
      </x:c>
      <x:c r="F70" s="11" t="n">
        <x:v>5539</x:v>
      </x:c>
      <x:c r="G70" s="11" t="n">
        <x:v>5811</x:v>
      </x:c>
      <x:c r="H70" s="11" t="n">
        <x:v>272</x:v>
      </x:c>
      <x:c r="I70" t="str">
        <x:v>Sara</x:v>
      </x:c>
      <x:c r="J70" t="str">
        <x:v>Approved</x:v>
      </x:c>
    </x:row>
    <x:row r="71">
      <x:c r="A71" t="str">
        <x:v>EX-3070</x:v>
      </x:c>
      <x:c r="B71" s="10" t="n">
        <x:v>46693</x:v>
      </x:c>
      <x:c r="C71" t="str">
        <x:v>Finance</x:v>
      </x:c>
      <x:c r="D71" t="str">
        <x:v>Payroll</x:v>
      </x:c>
      <x:c r="E71" t="str">
        <x:v>Payroll cost - cycle 70</x:v>
      </x:c>
      <x:c r="F71" s="11" t="n">
        <x:v>4127</x:v>
      </x:c>
      <x:c r="G71" s="11" t="n">
        <x:v>4980</x:v>
      </x:c>
      <x:c r="H71" s="11" t="n">
        <x:v>853</x:v>
      </x:c>
      <x:c r="I71" t="str">
        <x:v>Adel</x:v>
      </x:c>
      <x:c r="J71" t="str">
        <x:v>Approved</x:v>
      </x:c>
    </x:row>
    <x:row r="72">
      <x:c r="A72" t="str">
        <x:v>EX-3071</x:v>
      </x:c>
      <x:c r="B72" s="10" t="n">
        <x:v>46708</x:v>
      </x:c>
      <x:c r="C72" t="str">
        <x:v>Maintenance</x:v>
      </x:c>
      <x:c r="D72" t="str">
        <x:v>Logistics</x:v>
      </x:c>
      <x:c r="E72" t="str">
        <x:v>Logistics cost - cycle 71</x:v>
      </x:c>
      <x:c r="F72" s="11" t="n">
        <x:v>9131</x:v>
      </x:c>
      <x:c r="G72" s="11" t="n">
        <x:v>9062</x:v>
      </x:c>
      <x:c r="H72" s="11" t="n">
        <x:v>-69</x:v>
      </x:c>
      <x:c r="I72" t="str">
        <x:v>Adel</x:v>
      </x:c>
      <x:c r="J72" t="str">
        <x:v>Approved</x:v>
      </x:c>
    </x:row>
    <x:row r="73">
      <x:c r="A73" t="str">
        <x:v>EX-3072</x:v>
      </x:c>
      <x:c r="B73" s="10" t="n">
        <x:v>46723</x:v>
      </x:c>
      <x:c r="C73" t="str">
        <x:v>Finance</x:v>
      </x:c>
      <x:c r="D73" t="str">
        <x:v>Utilities</x:v>
      </x:c>
      <x:c r="E73" t="str">
        <x:v>Utilities cost - cycle 72</x:v>
      </x:c>
      <x:c r="F73" s="11" t="n">
        <x:v>4457</x:v>
      </x:c>
      <x:c r="G73" s="11" t="n">
        <x:v>4960</x:v>
      </x:c>
      <x:c r="H73" s="11" t="n">
        <x:v>503</x:v>
      </x:c>
      <x:c r="I73" t="str">
        <x:v>Bilal</x:v>
      </x:c>
      <x:c r="J73" t="str">
        <x:v>Approved</x:v>
      </x:c>
    </x:row>
  </x:sheetData>
  <x:conditionalFormatting sqref="H2:H73">
    <x:cfRule type="expression" dxfId="0" priority="1">
      <x:formula>H2&gt;0</x:formula>
    </x:cfRule>
    <x:cfRule type="expression" dxfId="1" priority="2">
      <x:formula>H2&lt;=0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eefa29ef1bd47a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.289999961853027" hidden="0" customWidth="1"/>
    <x:col min="2" max="2" width="20.56999969482422" hidden="0" customWidth="1"/>
    <x:col min="3" max="3" width="14.140000343322754" hidden="0" customWidth="1"/>
    <x:col min="4" max="4" width="24.290000915527344" hidden="0" customWidth="1"/>
    <x:col min="5" max="5" width="12.430000305175781" hidden="0" customWidth="1"/>
    <x:col min="6" max="6" width="12.859999656677246" hidden="0" customWidth="1"/>
    <x:col min="7" max="7" width="29" hidden="0" customWidth="1"/>
    <x:col min="8" max="8" width="21.139999389648438" hidden="0" customWidth="1"/>
    <x:col min="9" max="9" width="15.430000305175781" hidden="0" customWidth="1"/>
    <x:col min="10" max="10" width="12.430000305175781" hidden="0" customWidth="1"/>
    <x:col min="11" max="11" width="6.570000171661377" hidden="0" customWidth="1"/>
  </x:cols>
  <x:sheetData>
    <x:row r="1">
      <x:c r="A1" s="8" t="str">
        <x:v>Employee_ID</x:v>
      </x:c>
      <x:c r="B1" s="8" t="str">
        <x:v>Name</x:v>
      </x:c>
      <x:c r="C1" s="8" t="str">
        <x:v>Department</x:v>
      </x:c>
      <x:c r="D1" s="8" t="str">
        <x:v>Role</x:v>
      </x:c>
      <x:c r="E1" s="8" t="str">
        <x:v>Hire_Date</x:v>
      </x:c>
      <x:c r="F1" s="8" t="str">
        <x:v>Base_Salary</x:v>
      </x:c>
      <x:c r="G1" s="8" t="str">
        <x:v>Overtime_Hours_Q1_2026</x:v>
      </x:c>
      <x:c r="H1" s="8" t="str">
        <x:v>Performance_Score</x:v>
      </x:c>
      <x:c r="I1" s="8" t="str">
        <x:v>Absence_Days</x:v>
      </x:c>
      <x:c r="J1" s="8" t="str">
        <x:v>Manager</x:v>
      </x:c>
      <x:c r="K1" s="8" t="str">
        <x:v>Status</x:v>
      </x:c>
    </x:row>
    <x:row r="2">
      <x:c r="A2" t="str">
        <x:v>E-1001</x:v>
      </x:c>
      <x:c r="B2" t="str">
        <x:v>Yasser Salem A.</x:v>
      </x:c>
      <x:c r="C2" t="str">
        <x:v>Operations</x:v>
      </x:c>
      <x:c r="D2" t="str">
        <x:v>Operator</x:v>
      </x:c>
      <x:c r="E2" s="10" t="n">
        <x:v>43653</x:v>
      </x:c>
      <x:c r="F2" s="11" t="n">
        <x:v>2053</x:v>
      </x:c>
      <x:c r="G2" s="12" t="n">
        <x:v>12</x:v>
      </x:c>
      <x:c r="H2" s="13" t="n">
        <x:v>3.77</x:v>
      </x:c>
      <x:c r="I2" t="n">
        <x:v>7</x:v>
      </x:c>
      <x:c r="J2" t="str">
        <x:v>B. Manager</x:v>
      </x:c>
      <x:c r="K2" t="str">
        <x:v>Active</x:v>
      </x:c>
    </x:row>
    <x:row r="3">
      <x:c r="A3" t="str">
        <x:v>E-1002</x:v>
      </x:c>
      <x:c r="B3" t="str">
        <x:v>Omar Zwai B.</x:v>
      </x:c>
      <x:c r="C3" t="str">
        <x:v>Finance</x:v>
      </x:c>
      <x:c r="D3" t="str">
        <x:v>Accountant</x:v>
      </x:c>
      <x:c r="E3" s="10" t="n">
        <x:v>44852</x:v>
      </x:c>
      <x:c r="F3" s="11" t="n">
        <x:v>1086</x:v>
      </x:c>
      <x:c r="G3" s="12" t="n">
        <x:v>11</x:v>
      </x:c>
      <x:c r="H3" s="13" t="n">
        <x:v>3.39</x:v>
      </x:c>
      <x:c r="I3" t="n">
        <x:v>8</x:v>
      </x:c>
      <x:c r="J3" t="str">
        <x:v>C. Lead</x:v>
      </x:c>
      <x:c r="K3" t="str">
        <x:v>Active</x:v>
      </x:c>
    </x:row>
    <x:row r="4">
      <x:c r="A4" t="str">
        <x:v>E-1003</x:v>
      </x:c>
      <x:c r="B4" t="str">
        <x:v>Rania Ashour C.</x:v>
      </x:c>
      <x:c r="C4" t="str">
        <x:v>Maintenance</x:v>
      </x:c>
      <x:c r="D4" t="str">
        <x:v>Technician</x:v>
      </x:c>
      <x:c r="E4" s="10" t="n">
        <x:v>45735</x:v>
      </x:c>
      <x:c r="F4" s="11" t="n">
        <x:v>915</x:v>
      </x:c>
      <x:c r="G4" s="12" t="n">
        <x:v>37</x:v>
      </x:c>
      <x:c r="H4" s="13" t="n">
        <x:v>3.27</x:v>
      </x:c>
      <x:c r="I4" t="n">
        <x:v>7</x:v>
      </x:c>
      <x:c r="J4" t="str">
        <x:v>C. Lead</x:v>
      </x:c>
      <x:c r="K4" t="str">
        <x:v>Active</x:v>
      </x:c>
    </x:row>
    <x:row r="5">
      <x:c r="A5" t="str">
        <x:v>E-1004</x:v>
      </x:c>
      <x:c r="B5" t="str">
        <x:v>Adel Miftah B.</x:v>
      </x:c>
      <x:c r="C5" t="str">
        <x:v>HR</x:v>
      </x:c>
      <x:c r="D5" t="str">
        <x:v>HR Officer</x:v>
      </x:c>
      <x:c r="E5" s="10" t="n">
        <x:v>45482</x:v>
      </x:c>
      <x:c r="F5" s="11" t="n">
        <x:v>1183</x:v>
      </x:c>
      <x:c r="G5" s="12" t="n">
        <x:v>10</x:v>
      </x:c>
      <x:c r="H5" s="13" t="n">
        <x:v>3.04</x:v>
      </x:c>
      <x:c r="I5" t="n">
        <x:v>11</x:v>
      </x:c>
      <x:c r="J5" t="str">
        <x:v>A. Director</x:v>
      </x:c>
      <x:c r="K5" t="str">
        <x:v>Active</x:v>
      </x:c>
    </x:row>
    <x:row r="6">
      <x:c r="A6" t="str">
        <x:v>E-1005</x:v>
      </x:c>
      <x:c r="B6" t="str">
        <x:v>Adel Miftah A.</x:v>
      </x:c>
      <x:c r="C6" t="str">
        <x:v>Operations</x:v>
      </x:c>
      <x:c r="D6" t="str">
        <x:v>Planner</x:v>
      </x:c>
      <x:c r="E6" s="10" t="n">
        <x:v>45736</x:v>
      </x:c>
      <x:c r="F6" s="11" t="n">
        <x:v>2363</x:v>
      </x:c>
      <x:c r="G6" s="12" t="n">
        <x:v>69</x:v>
      </x:c>
      <x:c r="H6" s="13" t="n">
        <x:v>3.92</x:v>
      </x:c>
      <x:c r="I6" t="n">
        <x:v>6</x:v>
      </x:c>
      <x:c r="J6" t="str">
        <x:v>A. Director</x:v>
      </x:c>
      <x:c r="K6" t="str">
        <x:v>Leave</x:v>
      </x:c>
    </x:row>
    <x:row r="7">
      <x:c r="A7" t="str">
        <x:v>E-1006</x:v>
      </x:c>
      <x:c r="B7" t="str">
        <x:v>Yasser Salem A.</x:v>
      </x:c>
      <x:c r="C7" t="str">
        <x:v>Maintenance</x:v>
      </x:c>
      <x:c r="D7" t="str">
        <x:v>Shift Lead</x:v>
      </x:c>
      <x:c r="E7" s="10" t="n">
        <x:v>43712</x:v>
      </x:c>
      <x:c r="F7" s="11" t="n">
        <x:v>2751</x:v>
      </x:c>
      <x:c r="G7" s="12" t="n">
        <x:v>69</x:v>
      </x:c>
      <x:c r="H7" s="13" t="n">
        <x:v>4.01</x:v>
      </x:c>
      <x:c r="I7" t="n">
        <x:v>9</x:v>
      </x:c>
      <x:c r="J7" t="str">
        <x:v>B. Manager</x:v>
      </x:c>
      <x:c r="K7" t="str">
        <x:v>Leave</x:v>
      </x:c>
    </x:row>
    <x:row r="8">
      <x:c r="A8" t="str">
        <x:v>E-1007</x:v>
      </x:c>
      <x:c r="B8" t="str">
        <x:v>Nadia Fathi A.</x:v>
      </x:c>
      <x:c r="C8" t="str">
        <x:v>Finance</x:v>
      </x:c>
      <x:c r="D8" t="str">
        <x:v>Controller</x:v>
      </x:c>
      <x:c r="E8" s="10" t="n">
        <x:v>44178</x:v>
      </x:c>
      <x:c r="F8" s="11" t="n">
        <x:v>1115</x:v>
      </x:c>
      <x:c r="G8" s="12" t="n">
        <x:v>5</x:v>
      </x:c>
      <x:c r="H8" s="13" t="n">
        <x:v>4.6</x:v>
      </x:c>
      <x:c r="I8" t="n">
        <x:v>6</x:v>
      </x:c>
      <x:c r="J8" t="str">
        <x:v>C. Lead</x:v>
      </x:c>
      <x:c r="K8" t="str">
        <x:v>Active</x:v>
      </x:c>
    </x:row>
    <x:row r="9">
      <x:c r="A9" t="str">
        <x:v>E-1008</x:v>
      </x:c>
      <x:c r="B9" t="str">
        <x:v>Sami Rahil A.</x:v>
      </x:c>
      <x:c r="C9" t="str">
        <x:v>Sales</x:v>
      </x:c>
      <x:c r="D9" t="str">
        <x:v>Sales Executive</x:v>
      </x:c>
      <x:c r="E9" s="10" t="n">
        <x:v>45768</x:v>
      </x:c>
      <x:c r="F9" s="11" t="n">
        <x:v>1756</x:v>
      </x:c>
      <x:c r="G9" s="12" t="n">
        <x:v>9</x:v>
      </x:c>
      <x:c r="H9" s="13" t="n">
        <x:v>3.02</x:v>
      </x:c>
      <x:c r="I9" t="n">
        <x:v>0</x:v>
      </x:c>
      <x:c r="J9" t="str">
        <x:v>D. Head</x:v>
      </x:c>
      <x:c r="K9" t="str">
        <x:v>Active</x:v>
      </x:c>
    </x:row>
    <x:row r="10">
      <x:c r="A10" t="str">
        <x:v>E-1009</x:v>
      </x:c>
      <x:c r="B10" t="str">
        <x:v>Ibrahim Juma D.</x:v>
      </x:c>
      <x:c r="C10" t="str">
        <x:v>IT</x:v>
      </x:c>
      <x:c r="D10" t="str">
        <x:v>Systems Admin</x:v>
      </x:c>
      <x:c r="E10" s="10" t="n">
        <x:v>45504</x:v>
      </x:c>
      <x:c r="F10" s="11" t="n">
        <x:v>3024</x:v>
      </x:c>
      <x:c r="G10" s="12" t="n">
        <x:v>16</x:v>
      </x:c>
      <x:c r="H10" s="13" t="n">
        <x:v>2.69</x:v>
      </x:c>
      <x:c r="I10" t="n">
        <x:v>1</x:v>
      </x:c>
      <x:c r="J10" t="str">
        <x:v>D. Head</x:v>
      </x:c>
      <x:c r="K10" t="str">
        <x:v>Active</x:v>
      </x:c>
    </x:row>
    <x:row r="11">
      <x:c r="A11" t="str">
        <x:v>E-1010</x:v>
      </x:c>
      <x:c r="B11" t="str">
        <x:v>Omar Zwai A.</x:v>
      </x:c>
      <x:c r="C11" t="str">
        <x:v>Finance</x:v>
      </x:c>
      <x:c r="D11" t="str">
        <x:v>Controller</x:v>
      </x:c>
      <x:c r="E11" s="10" t="n">
        <x:v>45898</x:v>
      </x:c>
      <x:c r="F11" s="11" t="n">
        <x:v>3124</x:v>
      </x:c>
      <x:c r="G11" s="12" t="n">
        <x:v>4</x:v>
      </x:c>
      <x:c r="H11" s="13" t="n">
        <x:v>3.69</x:v>
      </x:c>
      <x:c r="I11" t="n">
        <x:v>6</x:v>
      </x:c>
      <x:c r="J11" t="str">
        <x:v>A. Director</x:v>
      </x:c>
      <x:c r="K11" t="str">
        <x:v>Active</x:v>
      </x:c>
    </x:row>
    <x:row r="12">
      <x:c r="A12" t="str">
        <x:v>E-1011</x:v>
      </x:c>
      <x:c r="B12" t="str">
        <x:v>Nadia Fathi A.</x:v>
      </x:c>
      <x:c r="C12" t="str">
        <x:v>Sales</x:v>
      </x:c>
      <x:c r="D12" t="str">
        <x:v>Account Manager</x:v>
      </x:c>
      <x:c r="E12" s="10" t="n">
        <x:v>43529</x:v>
      </x:c>
      <x:c r="F12" s="11" t="n">
        <x:v>2448</x:v>
      </x:c>
      <x:c r="G12" s="12" t="n">
        <x:v>0</x:v>
      </x:c>
      <x:c r="H12" s="13" t="n">
        <x:v>2.62</x:v>
      </x:c>
      <x:c r="I12" t="n">
        <x:v>10</x:v>
      </x:c>
      <x:c r="J12" t="str">
        <x:v>B. Manager</x:v>
      </x:c>
      <x:c r="K12" t="str">
        <x:v>Active</x:v>
      </x:c>
    </x:row>
    <x:row r="13">
      <x:c r="A13" t="str">
        <x:v>E-1012</x:v>
      </x:c>
      <x:c r="B13" t="str">
        <x:v>Lina Hamed A.</x:v>
      </x:c>
      <x:c r="C13" t="str">
        <x:v>Sales</x:v>
      </x:c>
      <x:c r="D13" t="str">
        <x:v>Sales Executive</x:v>
      </x:c>
      <x:c r="E13" s="10" t="n">
        <x:v>43538</x:v>
      </x:c>
      <x:c r="F13" s="11" t="n">
        <x:v>1828</x:v>
      </x:c>
      <x:c r="G13" s="12" t="n">
        <x:v>18</x:v>
      </x:c>
      <x:c r="H13" s="13" t="n">
        <x:v>3.16</x:v>
      </x:c>
      <x:c r="I13" t="n">
        <x:v>11</x:v>
      </x:c>
      <x:c r="J13" t="str">
        <x:v>C. Lead</x:v>
      </x:c>
      <x:c r="K13" t="str">
        <x:v>Active</x:v>
      </x:c>
    </x:row>
    <x:row r="14">
      <x:c r="A14" t="str">
        <x:v>E-1013</x:v>
      </x:c>
      <x:c r="B14" t="str">
        <x:v>Farah Yusuf A.</x:v>
      </x:c>
      <x:c r="C14" t="str">
        <x:v>Finance</x:v>
      </x:c>
      <x:c r="D14" t="str">
        <x:v>Accountant</x:v>
      </x:c>
      <x:c r="E14" s="10" t="n">
        <x:v>43811</x:v>
      </x:c>
      <x:c r="F14" s="11" t="n">
        <x:v>1900</x:v>
      </x:c>
      <x:c r="G14" s="12" t="n">
        <x:v>17</x:v>
      </x:c>
      <x:c r="H14" s="13" t="n">
        <x:v>4.23</x:v>
      </x:c>
      <x:c r="I14" t="n">
        <x:v>7</x:v>
      </x:c>
      <x:c r="J14" t="str">
        <x:v>A. Director</x:v>
      </x:c>
      <x:c r="K14" t="str">
        <x:v>Leave</x:v>
      </x:c>
    </x:row>
    <x:row r="15">
      <x:c r="A15" t="str">
        <x:v>E-1014</x:v>
      </x:c>
      <x:c r="B15" t="str">
        <x:v>Tariq Dali B.</x:v>
      </x:c>
      <x:c r="C15" t="str">
        <x:v>Operations</x:v>
      </x:c>
      <x:c r="D15" t="str">
        <x:v>Operator</x:v>
      </x:c>
      <x:c r="E15" s="10" t="n">
        <x:v>45998</x:v>
      </x:c>
      <x:c r="F15" s="11" t="n">
        <x:v>1026</x:v>
      </x:c>
      <x:c r="G15" s="12" t="n">
        <x:v>49</x:v>
      </x:c>
      <x:c r="H15" s="13" t="n">
        <x:v>3.32</x:v>
      </x:c>
      <x:c r="I15" t="n">
        <x:v>11</x:v>
      </x:c>
      <x:c r="J15" t="str">
        <x:v>D. Head</x:v>
      </x:c>
      <x:c r="K15" t="str">
        <x:v>Active</x:v>
      </x:c>
    </x:row>
    <x:row r="16">
      <x:c r="A16" t="str">
        <x:v>E-1015</x:v>
      </x:c>
      <x:c r="B16" t="str">
        <x:v>Nadia Fathi C.</x:v>
      </x:c>
      <x:c r="C16" t="str">
        <x:v>HR</x:v>
      </x:c>
      <x:c r="D16" t="str">
        <x:v>Recruiter</x:v>
      </x:c>
      <x:c r="E16" s="10" t="n">
        <x:v>45821</x:v>
      </x:c>
      <x:c r="F16" s="11" t="n">
        <x:v>2497</x:v>
      </x:c>
      <x:c r="G16" s="12" t="n">
        <x:v>15</x:v>
      </x:c>
      <x:c r="H16" s="13" t="n">
        <x:v>4.16</x:v>
      </x:c>
      <x:c r="I16" t="n">
        <x:v>2</x:v>
      </x:c>
      <x:c r="J16" t="str">
        <x:v>B. Manager</x:v>
      </x:c>
      <x:c r="K16" t="str">
        <x:v>Active</x:v>
      </x:c>
    </x:row>
    <x:row r="17">
      <x:c r="A17" t="str">
        <x:v>E-1016</x:v>
      </x:c>
      <x:c r="B17" t="str">
        <x:v>Sami Rahil C.</x:v>
      </x:c>
      <x:c r="C17" t="str">
        <x:v>Maintenance</x:v>
      </x:c>
      <x:c r="D17" t="str">
        <x:v>Technician</x:v>
      </x:c>
      <x:c r="E17" s="10" t="n">
        <x:v>45045</x:v>
      </x:c>
      <x:c r="F17" s="11" t="n">
        <x:v>2554</x:v>
      </x:c>
      <x:c r="G17" s="12" t="n">
        <x:v>34</x:v>
      </x:c>
      <x:c r="H17" s="13" t="n">
        <x:v>4.4</x:v>
      </x:c>
      <x:c r="I17" t="n">
        <x:v>9</x:v>
      </x:c>
      <x:c r="J17" t="str">
        <x:v>C. Lead</x:v>
      </x:c>
      <x:c r="K17" t="str">
        <x:v>Active</x:v>
      </x:c>
    </x:row>
    <x:row r="18">
      <x:c r="A18" t="str">
        <x:v>E-1017</x:v>
      </x:c>
      <x:c r="B18" t="str">
        <x:v>Mona Abdel D.</x:v>
      </x:c>
      <x:c r="C18" t="str">
        <x:v>Finance</x:v>
      </x:c>
      <x:c r="D18" t="str">
        <x:v>Controller</x:v>
      </x:c>
      <x:c r="E18" s="10" t="n">
        <x:v>45947</x:v>
      </x:c>
      <x:c r="F18" s="11" t="n">
        <x:v>763</x:v>
      </x:c>
      <x:c r="G18" s="12" t="n">
        <x:v>4</x:v>
      </x:c>
      <x:c r="H18" s="13" t="n">
        <x:v>3.98</x:v>
      </x:c>
      <x:c r="I18" t="n">
        <x:v>4</x:v>
      </x:c>
      <x:c r="J18" t="str">
        <x:v>B. Manager</x:v>
      </x:c>
      <x:c r="K18" t="str">
        <x:v>Active</x:v>
      </x:c>
    </x:row>
    <x:row r="19">
      <x:c r="A19" t="str">
        <x:v>E-1018</x:v>
      </x:c>
      <x:c r="B19" t="str">
        <x:v>Sami Rahil C.</x:v>
      </x:c>
      <x:c r="C19" t="str">
        <x:v>Finance</x:v>
      </x:c>
      <x:c r="D19" t="str">
        <x:v>Controller</x:v>
      </x:c>
      <x:c r="E19" s="10" t="n">
        <x:v>45930</x:v>
      </x:c>
      <x:c r="F19" s="11" t="n">
        <x:v>1659</x:v>
      </x:c>
      <x:c r="G19" s="12" t="n">
        <x:v>14</x:v>
      </x:c>
      <x:c r="H19" s="13" t="n">
        <x:v>3.25</x:v>
      </x:c>
      <x:c r="I19" t="n">
        <x:v>0</x:v>
      </x:c>
      <x:c r="J19" t="str">
        <x:v>C. Lead</x:v>
      </x:c>
      <x:c r="K19" t="str">
        <x:v>Active</x:v>
      </x:c>
    </x:row>
    <x:row r="20">
      <x:c r="A20" t="str">
        <x:v>E-1019</x:v>
      </x:c>
      <x:c r="B20" t="str">
        <x:v>Yousef Gharbi C.</x:v>
      </x:c>
      <x:c r="C20" t="str">
        <x:v>IT</x:v>
      </x:c>
      <x:c r="D20" t="str">
        <x:v>Systems Admin</x:v>
      </x:c>
      <x:c r="E20" s="10" t="n">
        <x:v>44647</x:v>
      </x:c>
      <x:c r="F20" s="11" t="n">
        <x:v>1276</x:v>
      </x:c>
      <x:c r="G20" s="12" t="n">
        <x:v>18</x:v>
      </x:c>
      <x:c r="H20" s="13" t="n">
        <x:v>2.94</x:v>
      </x:c>
      <x:c r="I20" t="n">
        <x:v>8</x:v>
      </x:c>
      <x:c r="J20" t="str">
        <x:v>A. Director</x:v>
      </x:c>
      <x:c r="K20" t="str">
        <x:v>Active</x:v>
      </x:c>
    </x:row>
    <x:row r="21">
      <x:c r="A21" t="str">
        <x:v>E-1020</x:v>
      </x:c>
      <x:c r="B21" t="str">
        <x:v>Rania Ashour D.</x:v>
      </x:c>
      <x:c r="C21" t="str">
        <x:v>Maintenance</x:v>
      </x:c>
      <x:c r="D21" t="str">
        <x:v>Technician</x:v>
      </x:c>
      <x:c r="E21" s="10" t="n">
        <x:v>44286</x:v>
      </x:c>
      <x:c r="F21" s="11" t="n">
        <x:v>1658</x:v>
      </x:c>
      <x:c r="G21" s="12" t="n">
        <x:v>39</x:v>
      </x:c>
      <x:c r="H21" s="13" t="n">
        <x:v>4</x:v>
      </x:c>
      <x:c r="I21" t="n">
        <x:v>10</x:v>
      </x:c>
      <x:c r="J21" t="str">
        <x:v>B. Manager</x:v>
      </x:c>
      <x:c r="K21" t="str">
        <x:v>Active</x:v>
      </x:c>
    </x:row>
    <x:row r="22">
      <x:c r="A22" t="str">
        <x:v>E-1021</x:v>
      </x:c>
      <x:c r="B22" t="str">
        <x:v>Khaled Omar B.</x:v>
      </x:c>
      <x:c r="C22" t="str">
        <x:v>IT</x:v>
      </x:c>
      <x:c r="D22" t="str">
        <x:v>Systems Admin</x:v>
      </x:c>
      <x:c r="E22" s="10" t="n">
        <x:v>45042</x:v>
      </x:c>
      <x:c r="F22" s="11" t="n">
        <x:v>2583</x:v>
      </x:c>
      <x:c r="G22" s="12" t="n">
        <x:v>17</x:v>
      </x:c>
      <x:c r="H22" s="13" t="n">
        <x:v>2.8</x:v>
      </x:c>
      <x:c r="I22" t="n">
        <x:v>5</x:v>
      </x:c>
      <x:c r="J22" t="str">
        <x:v>D. Head</x:v>
      </x:c>
      <x:c r="K22" t="str">
        <x:v>Active</x:v>
      </x:c>
    </x:row>
    <x:row r="23">
      <x:c r="A23" t="str">
        <x:v>E-1022</x:v>
      </x:c>
      <x:c r="B23" t="str">
        <x:v>Huda Issa A.</x:v>
      </x:c>
      <x:c r="C23" t="str">
        <x:v>HR</x:v>
      </x:c>
      <x:c r="D23" t="str">
        <x:v>Recruiter</x:v>
      </x:c>
      <x:c r="E23" s="10" t="n">
        <x:v>45418</x:v>
      </x:c>
      <x:c r="F23" s="11" t="n">
        <x:v>2773</x:v>
      </x:c>
      <x:c r="G23" s="12" t="n">
        <x:v>18</x:v>
      </x:c>
      <x:c r="H23" s="13" t="n">
        <x:v>3.06</x:v>
      </x:c>
      <x:c r="I23" t="n">
        <x:v>3</x:v>
      </x:c>
      <x:c r="J23" t="str">
        <x:v>B. Manager</x:v>
      </x:c>
      <x:c r="K23" t="str">
        <x:v>Active</x:v>
      </x:c>
    </x:row>
    <x:row r="24">
      <x:c r="A24" t="str">
        <x:v>E-1023</x:v>
      </x:c>
      <x:c r="B24" t="str">
        <x:v>Yasser Salem B.</x:v>
      </x:c>
      <x:c r="C24" t="str">
        <x:v>HR</x:v>
      </x:c>
      <x:c r="D24" t="str">
        <x:v>Recruiter</x:v>
      </x:c>
      <x:c r="E24" s="10" t="n">
        <x:v>45832</x:v>
      </x:c>
      <x:c r="F24" s="11" t="n">
        <x:v>3011</x:v>
      </x:c>
      <x:c r="G24" s="12" t="n">
        <x:v>11</x:v>
      </x:c>
      <x:c r="H24" s="13" t="n">
        <x:v>3.53</x:v>
      </x:c>
      <x:c r="I24" t="n">
        <x:v>8</x:v>
      </x:c>
      <x:c r="J24" t="str">
        <x:v>A. Director</x:v>
      </x:c>
      <x:c r="K24" t="str">
        <x:v>Active</x:v>
      </x:c>
    </x:row>
    <x:row r="25">
      <x:c r="A25" t="str">
        <x:v>E-1024</x:v>
      </x:c>
      <x:c r="B25" t="str">
        <x:v>Sami Rahil A.</x:v>
      </x:c>
      <x:c r="C25" t="str">
        <x:v>Maintenance</x:v>
      </x:c>
      <x:c r="D25" t="str">
        <x:v>Technician</x:v>
      </x:c>
      <x:c r="E25" s="10" t="n">
        <x:v>43900</x:v>
      </x:c>
      <x:c r="F25" s="11" t="n">
        <x:v>2222</x:v>
      </x:c>
      <x:c r="G25" s="12" t="n">
        <x:v>59</x:v>
      </x:c>
      <x:c r="H25" s="13" t="n">
        <x:v>4.41</x:v>
      </x:c>
      <x:c r="I25" t="n">
        <x:v>2</x:v>
      </x:c>
      <x:c r="J25" t="str">
        <x:v>C. Lead</x:v>
      </x:c>
      <x:c r="K25" t="str">
        <x:v>Active</x:v>
      </x:c>
    </x:row>
    <x:row r="26">
      <x:c r="A26" t="str">
        <x:v>E-1025</x:v>
      </x:c>
      <x:c r="B26" t="str">
        <x:v>Yousef Gharbi B.</x:v>
      </x:c>
      <x:c r="C26" t="str">
        <x:v>IT</x:v>
      </x:c>
      <x:c r="D26" t="str">
        <x:v>Systems Admin</x:v>
      </x:c>
      <x:c r="E26" s="10" t="n">
        <x:v>43851</x:v>
      </x:c>
      <x:c r="F26" s="11" t="n">
        <x:v>837</x:v>
      </x:c>
      <x:c r="G26" s="12" t="n">
        <x:v>6</x:v>
      </x:c>
      <x:c r="H26" s="13" t="n">
        <x:v>4.88</x:v>
      </x:c>
      <x:c r="I26" t="n">
        <x:v>9</x:v>
      </x:c>
      <x:c r="J26" t="str">
        <x:v>C. Lead</x:v>
      </x:c>
      <x:c r="K26" t="str">
        <x:v>Active</x:v>
      </x:c>
    </x:row>
    <x:row r="27">
      <x:c r="A27" t="str">
        <x:v>E-1026</x:v>
      </x:c>
      <x:c r="B27" t="str">
        <x:v>Farah Yusuf A.</x:v>
      </x:c>
      <x:c r="C27" t="str">
        <x:v>HR</x:v>
      </x:c>
      <x:c r="D27" t="str">
        <x:v>Recruiter</x:v>
      </x:c>
      <x:c r="E27" s="10" t="n">
        <x:v>43863</x:v>
      </x:c>
      <x:c r="F27" s="11" t="n">
        <x:v>2530</x:v>
      </x:c>
      <x:c r="G27" s="12" t="n">
        <x:v>18</x:v>
      </x:c>
      <x:c r="H27" s="13" t="n">
        <x:v>4.48</x:v>
      </x:c>
      <x:c r="I27" t="n">
        <x:v>2</x:v>
      </x:c>
      <x:c r="J27" t="str">
        <x:v>C. Lead</x:v>
      </x:c>
      <x:c r="K27" t="str">
        <x:v>Active</x:v>
      </x:c>
    </x:row>
    <x:row r="28">
      <x:c r="A28" t="str">
        <x:v>E-1027</x:v>
      </x:c>
      <x:c r="B28" t="str">
        <x:v>Salma Taher D.</x:v>
      </x:c>
      <x:c r="C28" t="str">
        <x:v>Sales</x:v>
      </x:c>
      <x:c r="D28" t="str">
        <x:v>Sales Executive</x:v>
      </x:c>
      <x:c r="E28" s="10" t="n">
        <x:v>43808</x:v>
      </x:c>
      <x:c r="F28" s="11" t="n">
        <x:v>812</x:v>
      </x:c>
      <x:c r="G28" s="12" t="n">
        <x:v>1</x:v>
      </x:c>
      <x:c r="H28" s="13" t="n">
        <x:v>2.68</x:v>
      </x:c>
      <x:c r="I28" t="n">
        <x:v>5</x:v>
      </x:c>
      <x:c r="J28" t="str">
        <x:v>A. Director</x:v>
      </x:c>
      <x:c r="K28" t="str">
        <x:v>Active</x:v>
      </x:c>
    </x:row>
    <x:row r="29">
      <x:c r="A29" t="str">
        <x:v>E-1028</x:v>
      </x:c>
      <x:c r="B29" t="str">
        <x:v>Khaled Omar D.</x:v>
      </x:c>
      <x:c r="C29" t="str">
        <x:v>Finance</x:v>
      </x:c>
      <x:c r="D29" t="str">
        <x:v>Controller</x:v>
      </x:c>
      <x:c r="E29" s="10" t="n">
        <x:v>43957</x:v>
      </x:c>
      <x:c r="F29" s="11" t="n">
        <x:v>1068</x:v>
      </x:c>
      <x:c r="G29" s="12" t="n">
        <x:v>8</x:v>
      </x:c>
      <x:c r="H29" s="13" t="n">
        <x:v>3.33</x:v>
      </x:c>
      <x:c r="I29" t="n">
        <x:v>3</x:v>
      </x:c>
      <x:c r="J29" t="str">
        <x:v>B. Manager</x:v>
      </x:c>
      <x:c r="K29" t="str">
        <x:v>Active</x:v>
      </x:c>
    </x:row>
    <x:row r="30">
      <x:c r="A30" t="str">
        <x:v>E-1029</x:v>
      </x:c>
      <x:c r="B30" t="str">
        <x:v>Noor Khalifa A.</x:v>
      </x:c>
      <x:c r="C30" t="str">
        <x:v>Sales</x:v>
      </x:c>
      <x:c r="D30" t="str">
        <x:v>Sales Executive</x:v>
      </x:c>
      <x:c r="E30" s="10" t="n">
        <x:v>44429</x:v>
      </x:c>
      <x:c r="F30" s="11" t="n">
        <x:v>1608</x:v>
      </x:c>
      <x:c r="G30" s="12" t="n">
        <x:v>5</x:v>
      </x:c>
      <x:c r="H30" s="13" t="n">
        <x:v>2.69</x:v>
      </x:c>
      <x:c r="I30" t="n">
        <x:v>4</x:v>
      </x:c>
      <x:c r="J30" t="str">
        <x:v>A. Director</x:v>
      </x:c>
      <x:c r="K30" t="str">
        <x:v>Active</x:v>
      </x:c>
    </x:row>
    <x:row r="31">
      <x:c r="A31" t="str">
        <x:v>E-1030</x:v>
      </x:c>
      <x:c r="B31" t="str">
        <x:v>Ahmed Ali B.</x:v>
      </x:c>
      <x:c r="C31" t="str">
        <x:v>Operations</x:v>
      </x:c>
      <x:c r="D31" t="str">
        <x:v>Planner</x:v>
      </x:c>
      <x:c r="E31" s="10" t="n">
        <x:v>45568</x:v>
      </x:c>
      <x:c r="F31" s="11" t="n">
        <x:v>2680</x:v>
      </x:c>
      <x:c r="G31" s="12" t="n">
        <x:v>7</x:v>
      </x:c>
      <x:c r="H31" s="13" t="n">
        <x:v>2.83</x:v>
      </x:c>
      <x:c r="I31" t="n">
        <x:v>5</x:v>
      </x:c>
      <x:c r="J31" t="str">
        <x:v>C. Lead</x:v>
      </x:c>
      <x:c r="K31" t="str">
        <x:v>Active</x:v>
      </x:c>
    </x:row>
    <x:row r="32">
      <x:c r="A32" t="str">
        <x:v>E-1031</x:v>
      </x:c>
      <x:c r="B32" t="str">
        <x:v>Nadia Fathi C.</x:v>
      </x:c>
      <x:c r="C32" t="str">
        <x:v>Maintenance</x:v>
      </x:c>
      <x:c r="D32" t="str">
        <x:v>Shift Lead</x:v>
      </x:c>
      <x:c r="E32" s="10" t="n">
        <x:v>43897</x:v>
      </x:c>
      <x:c r="F32" s="11" t="n">
        <x:v>2628</x:v>
      </x:c>
      <x:c r="G32" s="12" t="n">
        <x:v>41</x:v>
      </x:c>
      <x:c r="H32" s="13" t="n">
        <x:v>3.45</x:v>
      </x:c>
      <x:c r="I32" t="n">
        <x:v>6</x:v>
      </x:c>
      <x:c r="J32" t="str">
        <x:v>D. Head</x:v>
      </x:c>
      <x:c r="K32" t="str">
        <x:v>Active</x:v>
      </x:c>
    </x:row>
    <x:row r="33">
      <x:c r="A33" t="str">
        <x:v>E-1032</x:v>
      </x:c>
      <x:c r="B33" t="str">
        <x:v>Mariam Saleh B.</x:v>
      </x:c>
      <x:c r="C33" t="str">
        <x:v>Maintenance</x:v>
      </x:c>
      <x:c r="D33" t="str">
        <x:v>Maintenance Engineer</x:v>
      </x:c>
      <x:c r="E33" s="10" t="n">
        <x:v>44052</x:v>
      </x:c>
      <x:c r="F33" s="11" t="n">
        <x:v>751</x:v>
      </x:c>
      <x:c r="G33" s="12" t="n">
        <x:v>59</x:v>
      </x:c>
      <x:c r="H33" s="13" t="n">
        <x:v>4.25</x:v>
      </x:c>
      <x:c r="I33" t="n">
        <x:v>3</x:v>
      </x:c>
      <x:c r="J33" t="str">
        <x:v>B. Manager</x:v>
      </x:c>
      <x:c r="K33" t="str">
        <x:v>Active</x:v>
      </x:c>
    </x:row>
    <x:row r="34">
      <x:c r="A34" t="str">
        <x:v>E-1033</x:v>
      </x:c>
      <x:c r="B34" t="str">
        <x:v>Ahmed Ali A.</x:v>
      </x:c>
      <x:c r="C34" t="str">
        <x:v>IT</x:v>
      </x:c>
      <x:c r="D34" t="str">
        <x:v>Data Analyst</x:v>
      </x:c>
      <x:c r="E34" s="10" t="n">
        <x:v>44038</x:v>
      </x:c>
      <x:c r="F34" s="11" t="n">
        <x:v>2531</x:v>
      </x:c>
      <x:c r="G34" s="12" t="n">
        <x:v>3</x:v>
      </x:c>
      <x:c r="H34" s="13" t="n">
        <x:v>4.73</x:v>
      </x:c>
      <x:c r="I34" t="n">
        <x:v>6</x:v>
      </x:c>
      <x:c r="J34" t="str">
        <x:v>D. Head</x:v>
      </x:c>
      <x:c r="K34" t="str">
        <x:v>Active</x:v>
      </x:c>
    </x:row>
    <x:row r="35">
      <x:c r="A35" t="str">
        <x:v>E-1034</x:v>
      </x:c>
      <x:c r="B35" t="str">
        <x:v>Mariam Saleh B.</x:v>
      </x:c>
      <x:c r="C35" t="str">
        <x:v>HR</x:v>
      </x:c>
      <x:c r="D35" t="str">
        <x:v>HR Officer</x:v>
      </x:c>
      <x:c r="E35" s="10" t="n">
        <x:v>45421</x:v>
      </x:c>
      <x:c r="F35" s="11" t="n">
        <x:v>1173</x:v>
      </x:c>
      <x:c r="G35" s="12" t="n">
        <x:v>11</x:v>
      </x:c>
      <x:c r="H35" s="13" t="n">
        <x:v>2.93</x:v>
      </x:c>
      <x:c r="I35" t="n">
        <x:v>3</x:v>
      </x:c>
      <x:c r="J35" t="str">
        <x:v>D. Head</x:v>
      </x:c>
      <x:c r="K35" t="str">
        <x:v>Active</x:v>
      </x:c>
    </x:row>
    <x:row r="36">
      <x:c r="A36" t="str">
        <x:v>E-1035</x:v>
      </x:c>
      <x:c r="B36" t="str">
        <x:v>Ahmed Ali C.</x:v>
      </x:c>
      <x:c r="C36" t="str">
        <x:v>Sales</x:v>
      </x:c>
      <x:c r="D36" t="str">
        <x:v>Sales Executive</x:v>
      </x:c>
      <x:c r="E36" s="10" t="n">
        <x:v>44077</x:v>
      </x:c>
      <x:c r="F36" s="11" t="n">
        <x:v>1791</x:v>
      </x:c>
      <x:c r="G36" s="12" t="n">
        <x:v>13</x:v>
      </x:c>
      <x:c r="H36" s="13" t="n">
        <x:v>3.55</x:v>
      </x:c>
      <x:c r="I36" t="n">
        <x:v>2</x:v>
      </x:c>
      <x:c r="J36" t="str">
        <x:v>C. Lead</x:v>
      </x:c>
      <x:c r="K36" t="str">
        <x:v>Active</x:v>
      </x:c>
    </x:row>
    <x:row r="37">
      <x:c r="A37" t="str">
        <x:v>E-1036</x:v>
      </x:c>
      <x:c r="B37" t="str">
        <x:v>Nadia Fathi B.</x:v>
      </x:c>
      <x:c r="C37" t="str">
        <x:v>Sales</x:v>
      </x:c>
      <x:c r="D37" t="str">
        <x:v>Sales Executive</x:v>
      </x:c>
      <x:c r="E37" s="10" t="n">
        <x:v>45477</x:v>
      </x:c>
      <x:c r="F37" s="11" t="n">
        <x:v>1147</x:v>
      </x:c>
      <x:c r="G37" s="12" t="n">
        <x:v>10</x:v>
      </x:c>
      <x:c r="H37" s="13" t="n">
        <x:v>3.65</x:v>
      </x:c>
      <x:c r="I37" t="n">
        <x:v>7</x:v>
      </x:c>
      <x:c r="J37" t="str">
        <x:v>A. Director</x:v>
      </x:c>
      <x:c r="K37" t="str">
        <x:v>Active</x:v>
      </x:c>
    </x:row>
    <x:row r="38">
      <x:c r="A38" t="str">
        <x:v>E-1037</x:v>
      </x:c>
      <x:c r="B38" t="str">
        <x:v>Noor Khalifa D.</x:v>
      </x:c>
      <x:c r="C38" t="str">
        <x:v>Finance</x:v>
      </x:c>
      <x:c r="D38" t="str">
        <x:v>Accountant</x:v>
      </x:c>
      <x:c r="E38" s="10" t="n">
        <x:v>45759</x:v>
      </x:c>
      <x:c r="F38" s="11" t="n">
        <x:v>2655</x:v>
      </x:c>
      <x:c r="G38" s="12" t="n">
        <x:v>9</x:v>
      </x:c>
      <x:c r="H38" s="13" t="n">
        <x:v>2.87</x:v>
      </x:c>
      <x:c r="I38" t="n">
        <x:v>3</x:v>
      </x:c>
      <x:c r="J38" t="str">
        <x:v>C. Lead</x:v>
      </x:c>
      <x:c r="K38" t="str">
        <x:v>Active</x:v>
      </x:c>
    </x:row>
    <x:row r="39">
      <x:c r="A39" t="str">
        <x:v>E-1038</x:v>
      </x:c>
      <x:c r="B39" t="str">
        <x:v>Adel Miftah B.</x:v>
      </x:c>
      <x:c r="C39" t="str">
        <x:v>Sales</x:v>
      </x:c>
      <x:c r="D39" t="str">
        <x:v>Account Manager</x:v>
      </x:c>
      <x:c r="E39" s="10" t="n">
        <x:v>45064</x:v>
      </x:c>
      <x:c r="F39" s="11" t="n">
        <x:v>1885</x:v>
      </x:c>
      <x:c r="G39" s="12" t="n">
        <x:v>13</x:v>
      </x:c>
      <x:c r="H39" s="13" t="n">
        <x:v>4.66</x:v>
      </x:c>
      <x:c r="I39" t="n">
        <x:v>0</x:v>
      </x:c>
      <x:c r="J39" t="str">
        <x:v>A. Director</x:v>
      </x:c>
      <x:c r="K39" t="str">
        <x:v>Active</x:v>
      </x:c>
    </x:row>
    <x:row r="40">
      <x:c r="A40" t="str">
        <x:v>E-1039</x:v>
      </x:c>
      <x:c r="B40" t="str">
        <x:v>Adel Miftah B.</x:v>
      </x:c>
      <x:c r="C40" t="str">
        <x:v>IT</x:v>
      </x:c>
      <x:c r="D40" t="str">
        <x:v>Data Analyst</x:v>
      </x:c>
      <x:c r="E40" s="10" t="n">
        <x:v>45558</x:v>
      </x:c>
      <x:c r="F40" s="11" t="n">
        <x:v>1274</x:v>
      </x:c>
      <x:c r="G40" s="12" t="n">
        <x:v>14</x:v>
      </x:c>
      <x:c r="H40" s="13" t="n">
        <x:v>2.6</x:v>
      </x:c>
      <x:c r="I40" t="n">
        <x:v>8</x:v>
      </x:c>
      <x:c r="J40" t="str">
        <x:v>C. Lead</x:v>
      </x:c>
      <x:c r="K40" t="str">
        <x:v>Active</x:v>
      </x:c>
    </x:row>
    <x:row r="41">
      <x:c r="A41" t="str">
        <x:v>E-1040</x:v>
      </x:c>
      <x:c r="B41" t="str">
        <x:v>Fatima Dabbashi B.</x:v>
      </x:c>
      <x:c r="C41" t="str">
        <x:v>Maintenance</x:v>
      </x:c>
      <x:c r="D41" t="str">
        <x:v>Maintenance Engineer</x:v>
      </x:c>
      <x:c r="E41" s="10" t="n">
        <x:v>44599</x:v>
      </x:c>
      <x:c r="F41" s="11" t="n">
        <x:v>3040</x:v>
      </x:c>
      <x:c r="G41" s="12" t="n">
        <x:v>23</x:v>
      </x:c>
      <x:c r="H41" s="13" t="n">
        <x:v>2.92</x:v>
      </x:c>
      <x:c r="I41" t="n">
        <x:v>2</x:v>
      </x:c>
      <x:c r="J41" t="str">
        <x:v>B. Manager</x:v>
      </x:c>
      <x:c r="K41" t="str">
        <x:v>Active</x:v>
      </x:c>
    </x:row>
    <x:row r="42">
      <x:c r="A42" t="str">
        <x:v>E-1041</x:v>
      </x:c>
      <x:c r="B42" t="str">
        <x:v>Tariq Dali B.</x:v>
      </x:c>
      <x:c r="C42" t="str">
        <x:v>Operations</x:v>
      </x:c>
      <x:c r="D42" t="str">
        <x:v>Production Supervisor</x:v>
      </x:c>
      <x:c r="E42" s="10" t="n">
        <x:v>45958</x:v>
      </x:c>
      <x:c r="F42" s="11" t="n">
        <x:v>2729</x:v>
      </x:c>
      <x:c r="G42" s="12" t="n">
        <x:v>35</x:v>
      </x:c>
      <x:c r="H42" s="13" t="n">
        <x:v>3</x:v>
      </x:c>
      <x:c r="I42" t="n">
        <x:v>2</x:v>
      </x:c>
      <x:c r="J42" t="str">
        <x:v>C. Lead</x:v>
      </x:c>
      <x:c r="K42" t="str">
        <x:v>Active</x:v>
      </x:c>
    </x:row>
    <x:row r="43">
      <x:c r="A43" t="str">
        <x:v>E-1042</x:v>
      </x:c>
      <x:c r="B43" t="str">
        <x:v>Sami Rahil C.</x:v>
      </x:c>
      <x:c r="C43" t="str">
        <x:v>Operations</x:v>
      </x:c>
      <x:c r="D43" t="str">
        <x:v>Operator</x:v>
      </x:c>
      <x:c r="E43" s="10" t="n">
        <x:v>45594</x:v>
      </x:c>
      <x:c r="F43" s="11" t="n">
        <x:v>2371</x:v>
      </x:c>
      <x:c r="G43" s="12" t="n">
        <x:v>7</x:v>
      </x:c>
      <x:c r="H43" s="13" t="n">
        <x:v>3.79</x:v>
      </x:c>
      <x:c r="I43" t="n">
        <x:v>5</x:v>
      </x:c>
      <x:c r="J43" t="str">
        <x:v>D. Head</x:v>
      </x:c>
      <x:c r="K43" t="str">
        <x:v>Active</x:v>
      </x:c>
    </x:row>
    <x:row r="44">
      <x:c r="A44" t="str">
        <x:v>E-1043</x:v>
      </x:c>
      <x:c r="B44" t="str">
        <x:v>Mariam Saleh B.</x:v>
      </x:c>
      <x:c r="C44" t="str">
        <x:v>Maintenance</x:v>
      </x:c>
      <x:c r="D44" t="str">
        <x:v>Technician</x:v>
      </x:c>
      <x:c r="E44" s="10" t="n">
        <x:v>44011</x:v>
      </x:c>
      <x:c r="F44" s="11" t="n">
        <x:v>1790</x:v>
      </x:c>
      <x:c r="G44" s="12" t="n">
        <x:v>31</x:v>
      </x:c>
      <x:c r="H44" s="13" t="n">
        <x:v>3.03</x:v>
      </x:c>
      <x:c r="I44" t="n">
        <x:v>5</x:v>
      </x:c>
      <x:c r="J44" t="str">
        <x:v>C. Lead</x:v>
      </x:c>
      <x:c r="K44" t="str">
        <x:v>Active</x:v>
      </x:c>
    </x:row>
    <x:row r="45">
      <x:c r="A45" t="str">
        <x:v>E-1044</x:v>
      </x:c>
      <x:c r="B45" t="str">
        <x:v>Bilal Nouri C.</x:v>
      </x:c>
      <x:c r="C45" t="str">
        <x:v>Operations</x:v>
      </x:c>
      <x:c r="D45" t="str">
        <x:v>Planner</x:v>
      </x:c>
      <x:c r="E45" s="10" t="n">
        <x:v>45595</x:v>
      </x:c>
      <x:c r="F45" s="11" t="n">
        <x:v>2525</x:v>
      </x:c>
      <x:c r="G45" s="12" t="n">
        <x:v>66</x:v>
      </x:c>
      <x:c r="H45" s="13" t="n">
        <x:v>2.76</x:v>
      </x:c>
      <x:c r="I45" t="n">
        <x:v>5</x:v>
      </x:c>
      <x:c r="J45" t="str">
        <x:v>D. Head</x:v>
      </x:c>
      <x:c r="K45" t="str">
        <x:v>Active</x:v>
      </x:c>
    </x:row>
    <x:row r="46">
      <x:c r="A46" t="str">
        <x:v>E-1045</x:v>
      </x:c>
      <x:c r="B46" t="str">
        <x:v>Omar Zwai B.</x:v>
      </x:c>
      <x:c r="C46" t="str">
        <x:v>Operations</x:v>
      </x:c>
      <x:c r="D46" t="str">
        <x:v>Planner</x:v>
      </x:c>
      <x:c r="E46" s="10" t="n">
        <x:v>43907</x:v>
      </x:c>
      <x:c r="F46" s="11" t="n">
        <x:v>2726</x:v>
      </x:c>
      <x:c r="G46" s="12" t="n">
        <x:v>57</x:v>
      </x:c>
      <x:c r="H46" s="13" t="n">
        <x:v>3.78</x:v>
      </x:c>
      <x:c r="I46" t="n">
        <x:v>8</x:v>
      </x:c>
      <x:c r="J46" t="str">
        <x:v>A. Director</x:v>
      </x:c>
      <x:c r="K46" t="str">
        <x:v>Active</x:v>
      </x:c>
    </x:row>
    <x:row r="47">
      <x:c r="A47" t="str">
        <x:v>E-1046</x:v>
      </x:c>
      <x:c r="B47" t="str">
        <x:v>Omar Zwai A.</x:v>
      </x:c>
      <x:c r="C47" t="str">
        <x:v>Operations</x:v>
      </x:c>
      <x:c r="D47" t="str">
        <x:v>Production Supervisor</x:v>
      </x:c>
      <x:c r="E47" s="10" t="n">
        <x:v>46001</x:v>
      </x:c>
      <x:c r="F47" s="11" t="n">
        <x:v>1447</x:v>
      </x:c>
      <x:c r="G47" s="12" t="n">
        <x:v>21</x:v>
      </x:c>
      <x:c r="H47" s="13" t="n">
        <x:v>2.84</x:v>
      </x:c>
      <x:c r="I47" t="n">
        <x:v>4</x:v>
      </x:c>
      <x:c r="J47" t="str">
        <x:v>A. Director</x:v>
      </x:c>
      <x:c r="K47" t="str">
        <x:v>Active</x:v>
      </x:c>
    </x:row>
    <x:row r="48">
      <x:c r="A48" t="str">
        <x:v>E-1047</x:v>
      </x:c>
      <x:c r="B48" t="str">
        <x:v>Salma Taher A.</x:v>
      </x:c>
      <x:c r="C48" t="str">
        <x:v>Finance</x:v>
      </x:c>
      <x:c r="D48" t="str">
        <x:v>Accountant</x:v>
      </x:c>
      <x:c r="E48" s="10" t="n">
        <x:v>44536</x:v>
      </x:c>
      <x:c r="F48" s="11" t="n">
        <x:v>772</x:v>
      </x:c>
      <x:c r="G48" s="12" t="n">
        <x:v>18</x:v>
      </x:c>
      <x:c r="H48" s="13" t="n">
        <x:v>3.67</x:v>
      </x:c>
      <x:c r="I48" t="n">
        <x:v>3</x:v>
      </x:c>
      <x:c r="J48" t="str">
        <x:v>C. Lead</x:v>
      </x:c>
      <x:c r="K48" t="str">
        <x:v>Active</x:v>
      </x:c>
    </x:row>
    <x:row r="49">
      <x:c r="A49" t="str">
        <x:v>E-1048</x:v>
      </x:c>
      <x:c r="B49" t="str">
        <x:v>Fatima Dabbashi C.</x:v>
      </x:c>
      <x:c r="C49" t="str">
        <x:v>Finance</x:v>
      </x:c>
      <x:c r="D49" t="str">
        <x:v>Accountant</x:v>
      </x:c>
      <x:c r="E49" s="10" t="n">
        <x:v>43651</x:v>
      </x:c>
      <x:c r="F49" s="11" t="n">
        <x:v>1818</x:v>
      </x:c>
      <x:c r="G49" s="12" t="n">
        <x:v>3</x:v>
      </x:c>
      <x:c r="H49" s="13" t="n">
        <x:v>3.67</x:v>
      </x:c>
      <x:c r="I49" t="n">
        <x:v>9</x:v>
      </x:c>
      <x:c r="J49" t="str">
        <x:v>A. Director</x:v>
      </x:c>
      <x:c r="K49" t="str">
        <x:v>Active</x:v>
      </x:c>
    </x:row>
    <x:row r="50">
      <x:c r="A50" t="str">
        <x:v>E-1049</x:v>
      </x:c>
      <x:c r="B50" t="str">
        <x:v>Mona Abdel D.</x:v>
      </x:c>
      <x:c r="C50" t="str">
        <x:v>Maintenance</x:v>
      </x:c>
      <x:c r="D50" t="str">
        <x:v>Maintenance Engineer</x:v>
      </x:c>
      <x:c r="E50" s="10" t="n">
        <x:v>45684</x:v>
      </x:c>
      <x:c r="F50" s="11" t="n">
        <x:v>3124</x:v>
      </x:c>
      <x:c r="G50" s="12" t="n">
        <x:v>29</x:v>
      </x:c>
      <x:c r="H50" s="13" t="n">
        <x:v>4.58</x:v>
      </x:c>
      <x:c r="I50" t="n">
        <x:v>2</x:v>
      </x:c>
      <x:c r="J50" t="str">
        <x:v>D. Head</x:v>
      </x:c>
      <x:c r="K50" t="str">
        <x:v>Active</x:v>
      </x:c>
    </x:row>
    <x:row r="51">
      <x:c r="A51" t="str">
        <x:v>E-1050</x:v>
      </x:c>
      <x:c r="B51" t="str">
        <x:v>Noor Khalifa C.</x:v>
      </x:c>
      <x:c r="C51" t="str">
        <x:v>Operations</x:v>
      </x:c>
      <x:c r="D51" t="str">
        <x:v>Operator</x:v>
      </x:c>
      <x:c r="E51" s="10" t="n">
        <x:v>45058</x:v>
      </x:c>
      <x:c r="F51" s="11" t="n">
        <x:v>2422</x:v>
      </x:c>
      <x:c r="G51" s="12" t="n">
        <x:v>67</x:v>
      </x:c>
      <x:c r="H51" s="13" t="n">
        <x:v>2.68</x:v>
      </x:c>
      <x:c r="I51" t="n">
        <x:v>0</x:v>
      </x:c>
      <x:c r="J51" t="str">
        <x:v>D. Head</x:v>
      </x:c>
      <x:c r="K51" t="str">
        <x:v>Active</x:v>
      </x:c>
    </x:row>
    <x:row r="52">
      <x:c r="A52" t="str">
        <x:v>E-1051</x:v>
      </x:c>
      <x:c r="B52" t="str">
        <x:v>Sami Rahil B.</x:v>
      </x:c>
      <x:c r="C52" t="str">
        <x:v>HR</x:v>
      </x:c>
      <x:c r="D52" t="str">
        <x:v>Recruiter</x:v>
      </x:c>
      <x:c r="E52" s="10" t="n">
        <x:v>45777</x:v>
      </x:c>
      <x:c r="F52" s="11" t="n">
        <x:v>2013</x:v>
      </x:c>
      <x:c r="G52" s="12" t="n">
        <x:v>12</x:v>
      </x:c>
      <x:c r="H52" s="13" t="n">
        <x:v>4.55</x:v>
      </x:c>
      <x:c r="I52" t="n">
        <x:v>0</x:v>
      </x:c>
      <x:c r="J52" t="str">
        <x:v>C. Lead</x:v>
      </x:c>
      <x:c r="K52" t="str">
        <x:v>Active</x:v>
      </x:c>
    </x:row>
    <x:row r="53">
      <x:c r="A53" t="str">
        <x:v>E-1052</x:v>
      </x:c>
      <x:c r="B53" t="str">
        <x:v>Sami Rahil D.</x:v>
      </x:c>
      <x:c r="C53" t="str">
        <x:v>Maintenance</x:v>
      </x:c>
      <x:c r="D53" t="str">
        <x:v>Shift Lead</x:v>
      </x:c>
      <x:c r="E53" s="10" t="n">
        <x:v>43513</x:v>
      </x:c>
      <x:c r="F53" s="11" t="n">
        <x:v>2192</x:v>
      </x:c>
      <x:c r="G53" s="12" t="n">
        <x:v>13</x:v>
      </x:c>
      <x:c r="H53" s="13" t="n">
        <x:v>3.82</x:v>
      </x:c>
      <x:c r="I53" t="n">
        <x:v>1</x:v>
      </x:c>
      <x:c r="J53" t="str">
        <x:v>B. Manager</x:v>
      </x:c>
      <x:c r="K53" t="str">
        <x:v>Active</x:v>
      </x:c>
    </x:row>
    <x:row r="54">
      <x:c r="A54" t="str">
        <x:v>E-1053</x:v>
      </x:c>
      <x:c r="B54" t="str">
        <x:v>Mariam Saleh A.</x:v>
      </x:c>
      <x:c r="C54" t="str">
        <x:v>Operations</x:v>
      </x:c>
      <x:c r="D54" t="str">
        <x:v>Production Supervisor</x:v>
      </x:c>
      <x:c r="E54" s="10" t="n">
        <x:v>44037</x:v>
      </x:c>
      <x:c r="F54" s="11" t="n">
        <x:v>2423</x:v>
      </x:c>
      <x:c r="G54" s="12" t="n">
        <x:v>50</x:v>
      </x:c>
      <x:c r="H54" s="13" t="n">
        <x:v>4.39</x:v>
      </x:c>
      <x:c r="I54" t="n">
        <x:v>7</x:v>
      </x:c>
      <x:c r="J54" t="str">
        <x:v>A. Director</x:v>
      </x:c>
      <x:c r="K54" t="str">
        <x:v>Active</x:v>
      </x:c>
    </x:row>
    <x:row r="55">
      <x:c r="A55" t="str">
        <x:v>E-1054</x:v>
      </x:c>
      <x:c r="B55" t="str">
        <x:v>Nadia Fathi A.</x:v>
      </x:c>
      <x:c r="C55" t="str">
        <x:v>IT</x:v>
      </x:c>
      <x:c r="D55" t="str">
        <x:v>Data Analyst</x:v>
      </x:c>
      <x:c r="E55" s="10" t="n">
        <x:v>44585</x:v>
      </x:c>
      <x:c r="F55" s="11" t="n">
        <x:v>2921</x:v>
      </x:c>
      <x:c r="G55" s="12" t="n">
        <x:v>1</x:v>
      </x:c>
      <x:c r="H55" s="13" t="n">
        <x:v>4.03</x:v>
      </x:c>
      <x:c r="I55" t="n">
        <x:v>4</x:v>
      </x:c>
      <x:c r="J55" t="str">
        <x:v>D. Head</x:v>
      </x:c>
      <x:c r="K55" t="str">
        <x:v>Active</x:v>
      </x:c>
    </x:row>
    <x:row r="56">
      <x:c r="A56" t="str">
        <x:v>E-1055</x:v>
      </x:c>
      <x:c r="B56" t="str">
        <x:v>Mariam Saleh C.</x:v>
      </x:c>
      <x:c r="C56" t="str">
        <x:v>Operations</x:v>
      </x:c>
      <x:c r="D56" t="str">
        <x:v>Planner</x:v>
      </x:c>
      <x:c r="E56" s="10" t="n">
        <x:v>43929</x:v>
      </x:c>
      <x:c r="F56" s="11" t="n">
        <x:v>1950</x:v>
      </x:c>
      <x:c r="G56" s="12" t="n">
        <x:v>44</x:v>
      </x:c>
      <x:c r="H56" s="13" t="n">
        <x:v>4.09</x:v>
      </x:c>
      <x:c r="I56" t="n">
        <x:v>1</x:v>
      </x:c>
      <x:c r="J56" t="str">
        <x:v>A. Director</x:v>
      </x:c>
      <x:c r="K56" t="str">
        <x:v>Active</x:v>
      </x:c>
    </x:row>
    <x:row r="57">
      <x:c r="A57" t="str">
        <x:v>E-1056</x:v>
      </x:c>
      <x:c r="B57" t="str">
        <x:v>Ibrahim Juma C.</x:v>
      </x:c>
      <x:c r="C57" t="str">
        <x:v>IT</x:v>
      </x:c>
      <x:c r="D57" t="str">
        <x:v>Systems Admin</x:v>
      </x:c>
      <x:c r="E57" s="10" t="n">
        <x:v>45268</x:v>
      </x:c>
      <x:c r="F57" s="11" t="n">
        <x:v>1207</x:v>
      </x:c>
      <x:c r="G57" s="12" t="n">
        <x:v>16</x:v>
      </x:c>
      <x:c r="H57" s="13" t="n">
        <x:v>2.9</x:v>
      </x:c>
      <x:c r="I57" t="n">
        <x:v>4</x:v>
      </x:c>
      <x:c r="J57" t="str">
        <x:v>C. Lead</x:v>
      </x:c>
      <x:c r="K57" t="str">
        <x:v>Active</x:v>
      </x:c>
    </x:row>
    <x:row r="58">
      <x:c r="A58" t="str">
        <x:v>E-1057</x:v>
      </x:c>
      <x:c r="B58" t="str">
        <x:v>Bilal Nouri D.</x:v>
      </x:c>
      <x:c r="C58" t="str">
        <x:v>Operations</x:v>
      </x:c>
      <x:c r="D58" t="str">
        <x:v>Operator</x:v>
      </x:c>
      <x:c r="E58" s="10" t="n">
        <x:v>45703</x:v>
      </x:c>
      <x:c r="F58" s="11" t="n">
        <x:v>1876</x:v>
      </x:c>
      <x:c r="G58" s="12" t="n">
        <x:v>58</x:v>
      </x:c>
      <x:c r="H58" s="13" t="n">
        <x:v>4</x:v>
      </x:c>
      <x:c r="I58" t="n">
        <x:v>9</x:v>
      </x:c>
      <x:c r="J58" t="str">
        <x:v>B. Manager</x:v>
      </x:c>
      <x:c r="K58" t="str">
        <x:v>Active</x:v>
      </x:c>
    </x:row>
    <x:row r="59">
      <x:c r="A59" t="str">
        <x:v>E-1058</x:v>
      </x:c>
      <x:c r="B59" t="str">
        <x:v>Ahmed Ali B.</x:v>
      </x:c>
      <x:c r="C59" t="str">
        <x:v>HR</x:v>
      </x:c>
      <x:c r="D59" t="str">
        <x:v>Recruiter</x:v>
      </x:c>
      <x:c r="E59" s="10" t="n">
        <x:v>45710</x:v>
      </x:c>
      <x:c r="F59" s="11" t="n">
        <x:v>1943</x:v>
      </x:c>
      <x:c r="G59" s="12" t="n">
        <x:v>15</x:v>
      </x:c>
      <x:c r="H59" s="13" t="n">
        <x:v>3.68</x:v>
      </x:c>
      <x:c r="I59" t="n">
        <x:v>4</x:v>
      </x:c>
      <x:c r="J59" t="str">
        <x:v>C. Lead</x:v>
      </x:c>
      <x:c r="K59" t="str">
        <x:v>Active</x:v>
      </x:c>
    </x:row>
    <x:row r="60">
      <x:c r="A60" t="str">
        <x:v>E-1059</x:v>
      </x:c>
      <x:c r="B60" t="str">
        <x:v>Bilal Nouri C.</x:v>
      </x:c>
      <x:c r="C60" t="str">
        <x:v>IT</x:v>
      </x:c>
      <x:c r="D60" t="str">
        <x:v>Data Analyst</x:v>
      </x:c>
      <x:c r="E60" s="10" t="n">
        <x:v>45864</x:v>
      </x:c>
      <x:c r="F60" s="11" t="n">
        <x:v>2323</x:v>
      </x:c>
      <x:c r="G60" s="12" t="n">
        <x:v>0</x:v>
      </x:c>
      <x:c r="H60" s="13" t="n">
        <x:v>4.73</x:v>
      </x:c>
      <x:c r="I60" t="n">
        <x:v>2</x:v>
      </x:c>
      <x:c r="J60" t="str">
        <x:v>C. Lead</x:v>
      </x:c>
      <x:c r="K60" t="str">
        <x:v>Active</x:v>
      </x:c>
    </x:row>
    <x:row r="61">
      <x:c r="A61" t="str">
        <x:v>E-1060</x:v>
      </x:c>
      <x:c r="B61" t="str">
        <x:v>Tariq Dali C.</x:v>
      </x:c>
      <x:c r="C61" t="str">
        <x:v>HR</x:v>
      </x:c>
      <x:c r="D61" t="str">
        <x:v>HR Officer</x:v>
      </x:c>
      <x:c r="E61" s="10" t="n">
        <x:v>44676</x:v>
      </x:c>
      <x:c r="F61" s="11" t="n">
        <x:v>933</x:v>
      </x:c>
      <x:c r="G61" s="12" t="n">
        <x:v>0</x:v>
      </x:c>
      <x:c r="H61" s="13" t="n">
        <x:v>2.96</x:v>
      </x:c>
      <x:c r="I61" t="n">
        <x:v>1</x:v>
      </x:c>
      <x:c r="J61" t="str">
        <x:v>D. Head</x:v>
      </x:c>
      <x:c r="K61" t="str">
        <x:v>Active</x:v>
      </x:c>
    </x:row>
    <x:row r="62">
      <x:c r="A62" t="str">
        <x:v>E-1061</x:v>
      </x:c>
      <x:c r="B62" t="str">
        <x:v>Yasser Salem D.</x:v>
      </x:c>
      <x:c r="C62" t="str">
        <x:v>IT</x:v>
      </x:c>
      <x:c r="D62" t="str">
        <x:v>Data Analyst</x:v>
      </x:c>
      <x:c r="E62" s="10" t="n">
        <x:v>45267</x:v>
      </x:c>
      <x:c r="F62" s="11" t="n">
        <x:v>2150</x:v>
      </x:c>
      <x:c r="G62" s="12" t="n">
        <x:v>3</x:v>
      </x:c>
      <x:c r="H62" s="13" t="n">
        <x:v>3.8</x:v>
      </x:c>
      <x:c r="I62" t="n">
        <x:v>10</x:v>
      </x:c>
      <x:c r="J62" t="str">
        <x:v>C. Lead</x:v>
      </x:c>
      <x:c r="K62" t="str">
        <x:v>Active</x:v>
      </x:c>
    </x:row>
    <x:row r="63">
      <x:c r="A63" t="str">
        <x:v>E-1062</x:v>
      </x:c>
      <x:c r="B63" t="str">
        <x:v>Yousef Gharbi C.</x:v>
      </x:c>
      <x:c r="C63" t="str">
        <x:v>Sales</x:v>
      </x:c>
      <x:c r="D63" t="str">
        <x:v>Sales Analyst</x:v>
      </x:c>
      <x:c r="E63" s="10" t="n">
        <x:v>44295</x:v>
      </x:c>
      <x:c r="F63" s="11" t="n">
        <x:v>1833</x:v>
      </x:c>
      <x:c r="G63" s="12" t="n">
        <x:v>16</x:v>
      </x:c>
      <x:c r="H63" s="13" t="n">
        <x:v>2.82</x:v>
      </x:c>
      <x:c r="I63" t="n">
        <x:v>11</x:v>
      </x:c>
      <x:c r="J63" t="str">
        <x:v>B. Manager</x:v>
      </x:c>
      <x:c r="K63" t="str">
        <x:v>Active</x:v>
      </x:c>
    </x:row>
    <x:row r="64">
      <x:c r="A64" t="str">
        <x:v>E-1063</x:v>
      </x:c>
      <x:c r="B64" t="str">
        <x:v>Yasser Salem D.</x:v>
      </x:c>
      <x:c r="C64" t="str">
        <x:v>Operations</x:v>
      </x:c>
      <x:c r="D64" t="str">
        <x:v>Production Supervisor</x:v>
      </x:c>
      <x:c r="E64" s="10" t="n">
        <x:v>45147</x:v>
      </x:c>
      <x:c r="F64" s="11" t="n">
        <x:v>2952</x:v>
      </x:c>
      <x:c r="G64" s="12" t="n">
        <x:v>15</x:v>
      </x:c>
      <x:c r="H64" s="13" t="n">
        <x:v>3.75</x:v>
      </x:c>
      <x:c r="I64" t="n">
        <x:v>9</x:v>
      </x:c>
      <x:c r="J64" t="str">
        <x:v>C. Lead</x:v>
      </x:c>
      <x:c r="K64" t="str">
        <x:v>Active</x:v>
      </x:c>
    </x:row>
    <x:row r="65">
      <x:c r="A65" t="str">
        <x:v>E-1064</x:v>
      </x:c>
      <x:c r="B65" t="str">
        <x:v>Adel Miftah C.</x:v>
      </x:c>
      <x:c r="C65" t="str">
        <x:v>IT</x:v>
      </x:c>
      <x:c r="D65" t="str">
        <x:v>Systems Admin</x:v>
      </x:c>
      <x:c r="E65" s="10" t="n">
        <x:v>45020</x:v>
      </x:c>
      <x:c r="F65" s="11" t="n">
        <x:v>2552</x:v>
      </x:c>
      <x:c r="G65" s="12" t="n">
        <x:v>14</x:v>
      </x:c>
      <x:c r="H65" s="13" t="n">
        <x:v>3.26</x:v>
      </x:c>
      <x:c r="I65" t="n">
        <x:v>5</x:v>
      </x:c>
      <x:c r="J65" t="str">
        <x:v>D. Head</x:v>
      </x:c>
      <x:c r="K65" t="str">
        <x:v>Active</x:v>
      </x:c>
    </x:row>
    <x:row r="66">
      <x:c r="A66" t="str">
        <x:v>E-1065</x:v>
      </x:c>
      <x:c r="B66" t="str">
        <x:v>Lina Hamed C.</x:v>
      </x:c>
      <x:c r="C66" t="str">
        <x:v>IT</x:v>
      </x:c>
      <x:c r="D66" t="str">
        <x:v>Data Analyst</x:v>
      </x:c>
      <x:c r="E66" s="10" t="n">
        <x:v>44784</x:v>
      </x:c>
      <x:c r="F66" s="11" t="n">
        <x:v>727</x:v>
      </x:c>
      <x:c r="G66" s="12" t="n">
        <x:v>15</x:v>
      </x:c>
      <x:c r="H66" s="13" t="n">
        <x:v>3.48</x:v>
      </x:c>
      <x:c r="I66" t="n">
        <x:v>4</x:v>
      </x:c>
      <x:c r="J66" t="str">
        <x:v>B. Manager</x:v>
      </x:c>
      <x:c r="K66" t="str">
        <x:v>Active</x:v>
      </x:c>
    </x:row>
    <x:row r="67">
      <x:c r="A67" t="str">
        <x:v>E-1066</x:v>
      </x:c>
      <x:c r="B67" t="str">
        <x:v>Bilal Nouri C.</x:v>
      </x:c>
      <x:c r="C67" t="str">
        <x:v>Maintenance</x:v>
      </x:c>
      <x:c r="D67" t="str">
        <x:v>Shift Lead</x:v>
      </x:c>
      <x:c r="E67" s="10" t="n">
        <x:v>44416</x:v>
      </x:c>
      <x:c r="F67" s="11" t="n">
        <x:v>1060</x:v>
      </x:c>
      <x:c r="G67" s="12" t="n">
        <x:v>42</x:v>
      </x:c>
      <x:c r="H67" s="13" t="n">
        <x:v>3.34</x:v>
      </x:c>
      <x:c r="I67" t="n">
        <x:v>9</x:v>
      </x:c>
      <x:c r="J67" t="str">
        <x:v>B. Manager</x:v>
      </x:c>
      <x:c r="K67" t="str">
        <x:v>Active</x:v>
      </x:c>
    </x:row>
    <x:row r="68">
      <x:c r="A68" t="str">
        <x:v>E-1067</x:v>
      </x:c>
      <x:c r="B68" t="str">
        <x:v>Omar Zwai C.</x:v>
      </x:c>
      <x:c r="C68" t="str">
        <x:v>Operations</x:v>
      </x:c>
      <x:c r="D68" t="str">
        <x:v>Production Supervisor</x:v>
      </x:c>
      <x:c r="E68" s="10" t="n">
        <x:v>43660</x:v>
      </x:c>
      <x:c r="F68" s="11" t="n">
        <x:v>1750</x:v>
      </x:c>
      <x:c r="G68" s="12" t="n">
        <x:v>72</x:v>
      </x:c>
      <x:c r="H68" s="13" t="n">
        <x:v>4.66</x:v>
      </x:c>
      <x:c r="I68" t="n">
        <x:v>4</x:v>
      </x:c>
      <x:c r="J68" t="str">
        <x:v>D. Head</x:v>
      </x:c>
      <x:c r="K68" t="str">
        <x:v>Active</x:v>
      </x:c>
    </x:row>
    <x:row r="69">
      <x:c r="A69" t="str">
        <x:v>E-1068</x:v>
      </x:c>
      <x:c r="B69" t="str">
        <x:v>Noor Khalifa D.</x:v>
      </x:c>
      <x:c r="C69" t="str">
        <x:v>IT</x:v>
      </x:c>
      <x:c r="D69" t="str">
        <x:v>Data Analyst</x:v>
      </x:c>
      <x:c r="E69" s="10" t="n">
        <x:v>45061</x:v>
      </x:c>
      <x:c r="F69" s="11" t="n">
        <x:v>2601</x:v>
      </x:c>
      <x:c r="G69" s="12" t="n">
        <x:v>11</x:v>
      </x:c>
      <x:c r="H69" s="13" t="n">
        <x:v>2.69</x:v>
      </x:c>
      <x:c r="I69" t="n">
        <x:v>10</x:v>
      </x:c>
      <x:c r="J69" t="str">
        <x:v>A. Director</x:v>
      </x:c>
      <x:c r="K69" t="str">
        <x:v>Active</x:v>
      </x:c>
    </x:row>
    <x:row r="70">
      <x:c r="A70" t="str">
        <x:v>E-1069</x:v>
      </x:c>
      <x:c r="B70" t="str">
        <x:v>Omar Zwai B.</x:v>
      </x:c>
      <x:c r="C70" t="str">
        <x:v>IT</x:v>
      </x:c>
      <x:c r="D70" t="str">
        <x:v>Systems Admin</x:v>
      </x:c>
      <x:c r="E70" s="10" t="n">
        <x:v>43871</x:v>
      </x:c>
      <x:c r="F70" s="11" t="n">
        <x:v>2377</x:v>
      </x:c>
      <x:c r="G70" s="12" t="n">
        <x:v>11</x:v>
      </x:c>
      <x:c r="H70" s="13" t="n">
        <x:v>3.75</x:v>
      </x:c>
      <x:c r="I70" t="n">
        <x:v>10</x:v>
      </x:c>
      <x:c r="J70" t="str">
        <x:v>B. Manager</x:v>
      </x:c>
      <x:c r="K70" t="str">
        <x:v>Active</x:v>
      </x:c>
    </x:row>
    <x:row r="71">
      <x:c r="A71" t="str">
        <x:v>E-1070</x:v>
      </x:c>
      <x:c r="B71" t="str">
        <x:v>Khaled Omar B.</x:v>
      </x:c>
      <x:c r="C71" t="str">
        <x:v>Maintenance</x:v>
      </x:c>
      <x:c r="D71" t="str">
        <x:v>Technician</x:v>
      </x:c>
      <x:c r="E71" s="10" t="n">
        <x:v>45268</x:v>
      </x:c>
      <x:c r="F71" s="11" t="n">
        <x:v>3106</x:v>
      </x:c>
      <x:c r="G71" s="12" t="n">
        <x:v>43</x:v>
      </x:c>
      <x:c r="H71" s="13" t="n">
        <x:v>4.19</x:v>
      </x:c>
      <x:c r="I71" t="n">
        <x:v>11</x:v>
      </x:c>
      <x:c r="J71" t="str">
        <x:v>C. Lead</x:v>
      </x:c>
      <x:c r="K71" t="str">
        <x:v>Active</x:v>
      </x:c>
    </x:row>
    <x:row r="72">
      <x:c r="A72" t="str">
        <x:v>E-1071</x:v>
      </x:c>
      <x:c r="B72" t="str">
        <x:v>Sami Rahil D.</x:v>
      </x:c>
      <x:c r="C72" t="str">
        <x:v>Operations</x:v>
      </x:c>
      <x:c r="D72" t="str">
        <x:v>Planner</x:v>
      </x:c>
      <x:c r="E72" s="10" t="n">
        <x:v>45565</x:v>
      </x:c>
      <x:c r="F72" s="11" t="n">
        <x:v>1419</x:v>
      </x:c>
      <x:c r="G72" s="12" t="n">
        <x:v>14</x:v>
      </x:c>
      <x:c r="H72" s="13" t="n">
        <x:v>4.11</x:v>
      </x:c>
      <x:c r="I72" t="n">
        <x:v>4</x:v>
      </x:c>
      <x:c r="J72" t="str">
        <x:v>B. Manager</x:v>
      </x:c>
      <x:c r="K72" t="str">
        <x:v>Active</x:v>
      </x:c>
    </x:row>
    <x:row r="73">
      <x:c r="A73" t="str">
        <x:v>E-1072</x:v>
      </x:c>
      <x:c r="B73" t="str">
        <x:v>Mona Abdel A.</x:v>
      </x:c>
      <x:c r="C73" t="str">
        <x:v>IT</x:v>
      </x:c>
      <x:c r="D73" t="str">
        <x:v>Systems Admin</x:v>
      </x:c>
      <x:c r="E73" s="10" t="n">
        <x:v>45534</x:v>
      </x:c>
      <x:c r="F73" s="11" t="n">
        <x:v>1470</x:v>
      </x:c>
      <x:c r="G73" s="12" t="n">
        <x:v>13</x:v>
      </x:c>
      <x:c r="H73" s="13" t="n">
        <x:v>3.02</x:v>
      </x:c>
      <x:c r="I73" t="n">
        <x:v>10</x:v>
      </x:c>
      <x:c r="J73" t="str">
        <x:v>C. Lead</x:v>
      </x:c>
      <x:c r="K73" t="str">
        <x:v>Active</x:v>
      </x:c>
    </x:row>
    <x:row r="74">
      <x:c r="A74" t="str">
        <x:v>E-1073</x:v>
      </x:c>
      <x:c r="B74" t="str">
        <x:v>Omar Zwai A.</x:v>
      </x:c>
      <x:c r="C74" t="str">
        <x:v>Finance</x:v>
      </x:c>
      <x:c r="D74" t="str">
        <x:v>Accountant</x:v>
      </x:c>
      <x:c r="E74" s="10" t="n">
        <x:v>45151</x:v>
      </x:c>
      <x:c r="F74" s="11" t="n">
        <x:v>743</x:v>
      </x:c>
      <x:c r="G74" s="12" t="n">
        <x:v>0</x:v>
      </x:c>
      <x:c r="H74" s="13" t="n">
        <x:v>3.31</x:v>
      </x:c>
      <x:c r="I74" t="n">
        <x:v>11</x:v>
      </x:c>
      <x:c r="J74" t="str">
        <x:v>C. Lead</x:v>
      </x:c>
      <x:c r="K74" t="str">
        <x:v>Active</x:v>
      </x:c>
    </x:row>
    <x:row r="75">
      <x:c r="A75" t="str">
        <x:v>E-1074</x:v>
      </x:c>
      <x:c r="B75" t="str">
        <x:v>Mona Abdel C.</x:v>
      </x:c>
      <x:c r="C75" t="str">
        <x:v>Operations</x:v>
      </x:c>
      <x:c r="D75" t="str">
        <x:v>Operator</x:v>
      </x:c>
      <x:c r="E75" s="10" t="n">
        <x:v>43529</x:v>
      </x:c>
      <x:c r="F75" s="11" t="n">
        <x:v>820</x:v>
      </x:c>
      <x:c r="G75" s="12" t="n">
        <x:v>25</x:v>
      </x:c>
      <x:c r="H75" s="13" t="n">
        <x:v>3</x:v>
      </x:c>
      <x:c r="I75" t="n">
        <x:v>8</x:v>
      </x:c>
      <x:c r="J75" t="str">
        <x:v>B. Manager</x:v>
      </x:c>
      <x:c r="K75" t="str">
        <x:v>Active</x:v>
      </x:c>
    </x:row>
    <x:row r="76">
      <x:c r="A76" t="str">
        <x:v>E-1075</x:v>
      </x:c>
      <x:c r="B76" t="str">
        <x:v>Nadia Fathi A.</x:v>
      </x:c>
      <x:c r="C76" t="str">
        <x:v>Maintenance</x:v>
      </x:c>
      <x:c r="D76" t="str">
        <x:v>Shift Lead</x:v>
      </x:c>
      <x:c r="E76" s="10" t="n">
        <x:v>43963</x:v>
      </x:c>
      <x:c r="F76" s="11" t="n">
        <x:v>1295</x:v>
      </x:c>
      <x:c r="G76" s="12" t="n">
        <x:v>20</x:v>
      </x:c>
      <x:c r="H76" s="13" t="n">
        <x:v>3.79</x:v>
      </x:c>
      <x:c r="I76" t="n">
        <x:v>8</x:v>
      </x:c>
      <x:c r="J76" t="str">
        <x:v>A. Director</x:v>
      </x:c>
      <x:c r="K76" t="str">
        <x:v>Active</x:v>
      </x:c>
    </x:row>
    <x:row r="77">
      <x:c r="A77" t="str">
        <x:v>E-1076</x:v>
      </x:c>
      <x:c r="B77" t="str">
        <x:v>Mona Abdel C.</x:v>
      </x:c>
      <x:c r="C77" t="str">
        <x:v>IT</x:v>
      </x:c>
      <x:c r="D77" t="str">
        <x:v>Data Analyst</x:v>
      </x:c>
      <x:c r="E77" s="10" t="n">
        <x:v>45380</x:v>
      </x:c>
      <x:c r="F77" s="11" t="n">
        <x:v>2463</x:v>
      </x:c>
      <x:c r="G77" s="12" t="n">
        <x:v>1</x:v>
      </x:c>
      <x:c r="H77" s="13" t="n">
        <x:v>4.1</x:v>
      </x:c>
      <x:c r="I77" t="n">
        <x:v>10</x:v>
      </x:c>
      <x:c r="J77" t="str">
        <x:v>B. Manager</x:v>
      </x:c>
      <x:c r="K77" t="str">
        <x:v>Active</x:v>
      </x:c>
    </x:row>
    <x:row r="78">
      <x:c r="A78" t="str">
        <x:v>E-1077</x:v>
      </x:c>
      <x:c r="B78" t="str">
        <x:v>Khaled Omar C.</x:v>
      </x:c>
      <x:c r="C78" t="str">
        <x:v>HR</x:v>
      </x:c>
      <x:c r="D78" t="str">
        <x:v>Recruiter</x:v>
      </x:c>
      <x:c r="E78" s="10" t="n">
        <x:v>44159</x:v>
      </x:c>
      <x:c r="F78" s="11" t="n">
        <x:v>834</x:v>
      </x:c>
      <x:c r="G78" s="12" t="n">
        <x:v>8</x:v>
      </x:c>
      <x:c r="H78" s="13" t="n">
        <x:v>4.05</x:v>
      </x:c>
      <x:c r="I78" t="n">
        <x:v>9</x:v>
      </x:c>
      <x:c r="J78" t="str">
        <x:v>B. Manager</x:v>
      </x:c>
      <x:c r="K78" t="str">
        <x:v>Active</x:v>
      </x:c>
    </x:row>
    <x:row r="79">
      <x:c r="A79" t="str">
        <x:v>E-1078</x:v>
      </x:c>
      <x:c r="B79" t="str">
        <x:v>Salma Taher A.</x:v>
      </x:c>
      <x:c r="C79" t="str">
        <x:v>Maintenance</x:v>
      </x:c>
      <x:c r="D79" t="str">
        <x:v>Maintenance Engineer</x:v>
      </x:c>
      <x:c r="E79" s="10" t="n">
        <x:v>43689</x:v>
      </x:c>
      <x:c r="F79" s="11" t="n">
        <x:v>1601</x:v>
      </x:c>
      <x:c r="G79" s="12" t="n">
        <x:v>50</x:v>
      </x:c>
      <x:c r="H79" s="13" t="n">
        <x:v>3.94</x:v>
      </x:c>
      <x:c r="I79" t="n">
        <x:v>0</x:v>
      </x:c>
      <x:c r="J79" t="str">
        <x:v>B. Manager</x:v>
      </x:c>
      <x:c r="K79" t="str">
        <x:v>Active</x:v>
      </x:c>
    </x:row>
    <x:row r="80">
      <x:c r="A80" t="str">
        <x:v>E-1079</x:v>
      </x:c>
      <x:c r="B80" t="str">
        <x:v>Adel Miftah D.</x:v>
      </x:c>
      <x:c r="C80" t="str">
        <x:v>Operations</x:v>
      </x:c>
      <x:c r="D80" t="str">
        <x:v>Production Supervisor</x:v>
      </x:c>
      <x:c r="E80" s="10" t="n">
        <x:v>45870</x:v>
      </x:c>
      <x:c r="F80" s="11" t="n">
        <x:v>1410</x:v>
      </x:c>
      <x:c r="G80" s="12" t="n">
        <x:v>40</x:v>
      </x:c>
      <x:c r="H80" s="13" t="n">
        <x:v>2.61</x:v>
      </x:c>
      <x:c r="I80" t="n">
        <x:v>7</x:v>
      </x:c>
      <x:c r="J80" t="str">
        <x:v>C. Lead</x:v>
      </x:c>
      <x:c r="K80" t="str">
        <x:v>Active</x:v>
      </x:c>
    </x:row>
    <x:row r="81">
      <x:c r="A81" t="str">
        <x:v>E-1080</x:v>
      </x:c>
      <x:c r="B81" t="str">
        <x:v>Yousef Gharbi A.</x:v>
      </x:c>
      <x:c r="C81" t="str">
        <x:v>Maintenance</x:v>
      </x:c>
      <x:c r="D81" t="str">
        <x:v>Maintenance Engineer</x:v>
      </x:c>
      <x:c r="E81" s="10" t="n">
        <x:v>44461</x:v>
      </x:c>
      <x:c r="F81" s="11" t="n">
        <x:v>2296</x:v>
      </x:c>
      <x:c r="G81" s="12" t="n">
        <x:v>28</x:v>
      </x:c>
      <x:c r="H81" s="13" t="n">
        <x:v>3.55</x:v>
      </x:c>
      <x:c r="I81" t="n">
        <x:v>6</x:v>
      </x:c>
      <x:c r="J81" t="str">
        <x:v>B. Manager</x:v>
      </x:c>
      <x:c r="K81" t="str">
        <x:v>Active</x:v>
      </x:c>
    </x:row>
    <x:row r="82">
      <x:c r="A82" t="str">
        <x:v>E-1081</x:v>
      </x:c>
      <x:c r="B82" t="str">
        <x:v>Rania Ashour C.</x:v>
      </x:c>
      <x:c r="C82" t="str">
        <x:v>Sales</x:v>
      </x:c>
      <x:c r="D82" t="str">
        <x:v>Sales Executive</x:v>
      </x:c>
      <x:c r="E82" s="10" t="n">
        <x:v>45018</x:v>
      </x:c>
      <x:c r="F82" s="11" t="n">
        <x:v>1464</x:v>
      </x:c>
      <x:c r="G82" s="12" t="n">
        <x:v>0</x:v>
      </x:c>
      <x:c r="H82" s="13" t="n">
        <x:v>4.83</x:v>
      </x:c>
      <x:c r="I82" t="n">
        <x:v>4</x:v>
      </x:c>
      <x:c r="J82" t="str">
        <x:v>A. Director</x:v>
      </x:c>
      <x:c r="K82" t="str">
        <x:v>Active</x:v>
      </x:c>
    </x:row>
    <x:row r="83">
      <x:c r="A83" t="str">
        <x:v>E-1082</x:v>
      </x:c>
      <x:c r="B83" t="str">
        <x:v>Omar Zwai B.</x:v>
      </x:c>
      <x:c r="C83" t="str">
        <x:v>Maintenance</x:v>
      </x:c>
      <x:c r="D83" t="str">
        <x:v>Technician</x:v>
      </x:c>
      <x:c r="E83" s="10" t="n">
        <x:v>45117</x:v>
      </x:c>
      <x:c r="F83" s="11" t="n">
        <x:v>968</x:v>
      </x:c>
      <x:c r="G83" s="12" t="n">
        <x:v>15</x:v>
      </x:c>
      <x:c r="H83" s="13" t="n">
        <x:v>3.57</x:v>
      </x:c>
      <x:c r="I83" t="n">
        <x:v>5</x:v>
      </x:c>
      <x:c r="J83" t="str">
        <x:v>D. Head</x:v>
      </x:c>
      <x:c r="K83" t="str">
        <x:v>Active</x:v>
      </x:c>
    </x:row>
    <x:row r="84">
      <x:c r="A84" t="str">
        <x:v>E-1083</x:v>
      </x:c>
      <x:c r="B84" t="str">
        <x:v>Sami Rahil B.</x:v>
      </x:c>
      <x:c r="C84" t="str">
        <x:v>HR</x:v>
      </x:c>
      <x:c r="D84" t="str">
        <x:v>Recruiter</x:v>
      </x:c>
      <x:c r="E84" s="10" t="n">
        <x:v>44437</x:v>
      </x:c>
      <x:c r="F84" s="11" t="n">
        <x:v>2484</x:v>
      </x:c>
      <x:c r="G84" s="12" t="n">
        <x:v>1</x:v>
      </x:c>
      <x:c r="H84" s="13" t="n">
        <x:v>3.24</x:v>
      </x:c>
      <x:c r="I84" t="n">
        <x:v>0</x:v>
      </x:c>
      <x:c r="J84" t="str">
        <x:v>B. Manager</x:v>
      </x:c>
      <x:c r="K84" t="str">
        <x:v>Active</x:v>
      </x:c>
    </x:row>
    <x:row r="85">
      <x:c r="A85" t="str">
        <x:v>E-1084</x:v>
      </x:c>
      <x:c r="B85" t="str">
        <x:v>Bilal Nouri B.</x:v>
      </x:c>
      <x:c r="C85" t="str">
        <x:v>Operations</x:v>
      </x:c>
      <x:c r="D85" t="str">
        <x:v>Production Supervisor</x:v>
      </x:c>
      <x:c r="E85" s="10" t="n">
        <x:v>44570</x:v>
      </x:c>
      <x:c r="F85" s="11" t="n">
        <x:v>2931</x:v>
      </x:c>
      <x:c r="G85" s="12" t="n">
        <x:v>16</x:v>
      </x:c>
      <x:c r="H85" s="13" t="n">
        <x:v>3.88</x:v>
      </x:c>
      <x:c r="I85" t="n">
        <x:v>7</x:v>
      </x:c>
      <x:c r="J85" t="str">
        <x:v>C. Lead</x:v>
      </x:c>
      <x:c r="K85" t="str">
        <x:v>Active</x:v>
      </x:c>
    </x:row>
    <x:row r="86">
      <x:c r="A86" t="str">
        <x:v>E-1085</x:v>
      </x:c>
      <x:c r="B86" t="str">
        <x:v>Fatima Dabbashi B.</x:v>
      </x:c>
      <x:c r="C86" t="str">
        <x:v>Finance</x:v>
      </x:c>
      <x:c r="D86" t="str">
        <x:v>Controller</x:v>
      </x:c>
      <x:c r="E86" s="10" t="n">
        <x:v>45009</x:v>
      </x:c>
      <x:c r="F86" s="11" t="n">
        <x:v>3078</x:v>
      </x:c>
      <x:c r="G86" s="12" t="n">
        <x:v>6</x:v>
      </x:c>
      <x:c r="H86" s="13" t="n">
        <x:v>3.28</x:v>
      </x:c>
      <x:c r="I86" t="n">
        <x:v>7</x:v>
      </x:c>
      <x:c r="J86" t="str">
        <x:v>B. Manager</x:v>
      </x:c>
      <x:c r="K86" t="str">
        <x:v>Active</x:v>
      </x:c>
    </x:row>
    <x:row r="87">
      <x:c r="A87" t="str">
        <x:v>E-1086</x:v>
      </x:c>
      <x:c r="B87" t="str">
        <x:v>Omar Zwai B.</x:v>
      </x:c>
      <x:c r="C87" t="str">
        <x:v>Finance</x:v>
      </x:c>
      <x:c r="D87" t="str">
        <x:v>Accountant</x:v>
      </x:c>
      <x:c r="E87" s="10" t="n">
        <x:v>44534</x:v>
      </x:c>
      <x:c r="F87" s="11" t="n">
        <x:v>3141</x:v>
      </x:c>
      <x:c r="G87" s="12" t="n">
        <x:v>14</x:v>
      </x:c>
      <x:c r="H87" s="13" t="n">
        <x:v>3.95</x:v>
      </x:c>
      <x:c r="I87" t="n">
        <x:v>5</x:v>
      </x:c>
      <x:c r="J87" t="str">
        <x:v>D. Head</x:v>
      </x:c>
      <x:c r="K87" t="str">
        <x:v>Active</x:v>
      </x:c>
    </x:row>
  </x:sheetData>
  <x:conditionalFormatting sqref="H2:H87">
    <x:cfRule type="dataBar" priority="1">
      <x:dataBar>
        <x:cfvo type="min"/>
        <x:cfvo type="max"/>
        <x:color rgb="5B9BD5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527f6c4e1b65422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5" hidden="0" customWidth="1"/>
    <x:col min="3" max="3" width="24.139999389648438" hidden="0" customWidth="1"/>
    <x:col min="4" max="4" width="19.290000915527344" hidden="0" customWidth="1"/>
    <x:col min="5" max="5" width="21.139999389648438" hidden="0" customWidth="1"/>
    <x:col min="6" max="6" width="9.140000343322754" hidden="0" customWidth="1"/>
    <x:col min="7" max="7" width="19.139999389648438" hidden="0" customWidth="1"/>
    <x:col min="8" max="8" width="9.569999694824219" hidden="0" customWidth="1"/>
    <x:col min="9" max="9" width="20.709999084472656" hidden="0" customWidth="1"/>
    <x:col min="10" max="10" width="19.290000915527344" hidden="0" customWidth="1"/>
  </x:cols>
  <x:sheetData>
    <x:row r="1">
      <x:c r="A1" s="8" t="str">
        <x:v>Ticket_ID</x:v>
      </x:c>
      <x:c r="B1" s="8" t="str">
        <x:v>Opened_Date</x:v>
      </x:c>
      <x:c r="C1" s="8" t="str">
        <x:v>Customer</x:v>
      </x:c>
      <x:c r="D1" s="8" t="str">
        <x:v>Product</x:v>
      </x:c>
      <x:c r="E1" s="8" t="str">
        <x:v>Issue_Type</x:v>
      </x:c>
      <x:c r="F1" s="8" t="str">
        <x:v>Severity</x:v>
      </x:c>
      <x:c r="G1" s="8" t="str">
        <x:v>Resolution_Hours</x:v>
      </x:c>
      <x:c r="H1" s="8" t="str">
        <x:v>Resolved</x:v>
      </x:c>
      <x:c r="I1" s="8" t="str">
        <x:v>Root_Cause</x:v>
      </x:c>
      <x:c r="J1" s="8" t="str">
        <x:v>Repeat_Customer</x:v>
      </x:c>
    </x:row>
    <x:row r="2">
      <x:c r="A2" t="str">
        <x:v>T-5001</x:v>
      </x:c>
      <x:c r="B2" s="10" t="n">
        <x:v>45766</x:v>
      </x:c>
      <x:c r="C2" t="str">
        <x:v>Sahara Tech</x:v>
      </x:c>
      <x:c r="D2" t="str">
        <x:v>Sensor Pack</x:v>
      </x:c>
      <x:c r="E2" t="str">
        <x:v>Warranty Claim</x:v>
      </x:c>
      <x:c r="F2" t="str">
        <x:v>Low</x:v>
      </x:c>
      <x:c r="G2" s="14" t="n">
        <x:v>37.4</x:v>
      </x:c>
      <x:c r="H2" t="str">
        <x:v>Yes</x:v>
      </x:c>
      <x:c r="I2" t="str">
        <x:v>User misuse</x:v>
      </x:c>
      <x:c r="J2" t="str">
        <x:v>Yes</x:v>
      </x:c>
    </x:row>
    <x:row r="3">
      <x:c r="A3" t="str">
        <x:v>T-5002</x:v>
      </x:c>
      <x:c r="B3" s="10" t="n">
        <x:v>46049</x:v>
      </x:c>
      <x:c r="C3" t="str">
        <x:v>Al Noor Industrial</x:v>
      </x:c>
      <x:c r="D3" t="str">
        <x:v>Pump Assembly A</x:v>
      </x:c>
      <x:c r="E3" t="str">
        <x:v>Calibration</x:v>
      </x:c>
      <x:c r="F3" t="str">
        <x:v>High</x:v>
      </x:c>
      <x:c r="G3" s="14" t="n">
        <x:v>11.3</x:v>
      </x:c>
      <x:c r="H3" t="str">
        <x:v>No</x:v>
      </x:c>
      <x:c r="I3" t="str">
        <x:v>Configuration issue</x:v>
      </x:c>
      <x:c r="J3" t="str">
        <x:v>No</x:v>
      </x:c>
    </x:row>
    <x:row r="4">
      <x:c r="A4" t="str">
        <x:v>T-5003</x:v>
      </x:c>
      <x:c r="B4" s="10" t="n">
        <x:v>45748</x:v>
      </x:c>
      <x:c r="C4" t="str">
        <x:v>Misrata Energy</x:v>
      </x:c>
      <x:c r="D4" t="str">
        <x:v>Control Panel X</x:v>
      </x:c>
      <x:c r="E4" t="str">
        <x:v>Sensor Failure</x:v>
      </x:c>
      <x:c r="F4" t="str">
        <x:v>High</x:v>
      </x:c>
      <x:c r="G4" s="14" t="n">
        <x:v>8.7</x:v>
      </x:c>
      <x:c r="H4" t="str">
        <x:v>Yes</x:v>
      </x:c>
      <x:c r="I4" t="str">
        <x:v>User misuse</x:v>
      </x:c>
      <x:c r="J4" t="str">
        <x:v>Yes</x:v>
      </x:c>
    </x:row>
    <x:row r="5">
      <x:c r="A5" t="str">
        <x:v>T-5004</x:v>
      </x:c>
      <x:c r="B5" s="10" t="n">
        <x:v>46046</x:v>
      </x:c>
      <x:c r="C5" t="str">
        <x:v>North Coast Trading</x:v>
      </x:c>
      <x:c r="D5" t="str">
        <x:v>Pump Assembly B</x:v>
      </x:c>
      <x:c r="E5" t="str">
        <x:v>Leakage</x:v>
      </x:c>
      <x:c r="F5" t="str">
        <x:v>High</x:v>
      </x:c>
      <x:c r="G5" s="14" t="n">
        <x:v>7.2</x:v>
      </x:c>
      <x:c r="H5" t="str">
        <x:v>Yes</x:v>
      </x:c>
      <x:c r="I5" t="str">
        <x:v>Configuration issue</x:v>
      </x:c>
      <x:c r="J5" t="str">
        <x:v>No</x:v>
      </x:c>
    </x:row>
    <x:row r="6">
      <x:c r="A6" t="str">
        <x:v>T-5005</x:v>
      </x:c>
      <x:c r="B6" s="10" t="n">
        <x:v>45840</x:v>
      </x:c>
      <x:c r="C6" t="str">
        <x:v>Al Noor Industrial</x:v>
      </x:c>
      <x:c r="D6" t="str">
        <x:v>Sensor Pack</x:v>
      </x:c>
      <x:c r="E6" t="str">
        <x:v>Late Delivery</x:v>
      </x:c>
      <x:c r="F6" t="str">
        <x:v>High</x:v>
      </x:c>
      <x:c r="G6" s="14" t="n">
        <x:v>63.7</x:v>
      </x:c>
      <x:c r="H6" t="str">
        <x:v>Yes</x:v>
      </x:c>
      <x:c r="I6" t="str">
        <x:v>Assembly error</x:v>
      </x:c>
      <x:c r="J6" t="str">
        <x:v>Yes</x:v>
      </x:c>
    </x:row>
    <x:row r="7">
      <x:c r="A7" t="str">
        <x:v>T-5006</x:v>
      </x:c>
      <x:c r="B7" s="10" t="n">
        <x:v>45748</x:v>
      </x:c>
      <x:c r="C7" t="str">
        <x:v>Atlas Oil Services</x:v>
      </x:c>
      <x:c r="D7" t="str">
        <x:v>Control Panel X</x:v>
      </x:c>
      <x:c r="E7" t="str">
        <x:v>Calibration</x:v>
      </x:c>
      <x:c r="F7" t="str">
        <x:v>High</x:v>
      </x:c>
      <x:c r="G7" s="14" t="n">
        <x:v>50.1</x:v>
      </x:c>
      <x:c r="H7" t="str">
        <x:v>Yes</x:v>
      </x:c>
      <x:c r="I7" t="str">
        <x:v>Supplier defect</x:v>
      </x:c>
      <x:c r="J7" t="str">
        <x:v>Yes</x:v>
      </x:c>
    </x:row>
    <x:row r="8">
      <x:c r="A8" t="str">
        <x:v>T-5007</x:v>
      </x:c>
      <x:c r="B8" s="10" t="n">
        <x:v>46016</x:v>
      </x:c>
      <x:c r="C8" t="str">
        <x:v>Mediterranean Pumps</x:v>
      </x:c>
      <x:c r="D8" t="str">
        <x:v>Pump Assembly B</x:v>
      </x:c>
      <x:c r="E8" t="str">
        <x:v>Warranty Claim</x:v>
      </x:c>
      <x:c r="F8" t="str">
        <x:v>Medium</x:v>
      </x:c>
      <x:c r="G8" s="14" t="n">
        <x:v>65.3</x:v>
      </x:c>
      <x:c r="H8" t="str">
        <x:v>No</x:v>
      </x:c>
      <x:c r="I8" t="str">
        <x:v>User misuse</x:v>
      </x:c>
      <x:c r="J8" t="str">
        <x:v>No</x:v>
      </x:c>
    </x:row>
    <x:row r="9">
      <x:c r="A9" t="str">
        <x:v>T-5008</x:v>
      </x:c>
      <x:c r="B9" s="10" t="n">
        <x:v>45969</x:v>
      </x:c>
      <x:c r="C9" t="str">
        <x:v>Misrata Energy</x:v>
      </x:c>
      <x:c r="D9" t="str">
        <x:v>Motor Coupling</x:v>
      </x:c>
      <x:c r="E9" t="str">
        <x:v>Calibration</x:v>
      </x:c>
      <x:c r="F9" t="str">
        <x:v>Low</x:v>
      </x:c>
      <x:c r="G9" s="14" t="n">
        <x:v>3.8</x:v>
      </x:c>
      <x:c r="H9" t="str">
        <x:v>Yes</x:v>
      </x:c>
      <x:c r="I9" t="str">
        <x:v>Assembly error</x:v>
      </x:c>
      <x:c r="J9" t="str">
        <x:v>Yes</x:v>
      </x:c>
    </x:row>
    <x:row r="10">
      <x:c r="A10" t="str">
        <x:v>T-5009</x:v>
      </x:c>
      <x:c r="B10" s="10" t="n">
        <x:v>45737</x:v>
      </x:c>
      <x:c r="C10" t="str">
        <x:v>Al Noor Industrial</x:v>
      </x:c>
      <x:c r="D10" t="str">
        <x:v>Motor Coupling</x:v>
      </x:c>
      <x:c r="E10" t="str">
        <x:v>Leakage</x:v>
      </x:c>
      <x:c r="F10" t="str">
        <x:v>Medium</x:v>
      </x:c>
      <x:c r="G10" s="14" t="n">
        <x:v>45.7</x:v>
      </x:c>
      <x:c r="H10" t="str">
        <x:v>Yes</x:v>
      </x:c>
      <x:c r="I10" t="str">
        <x:v>Transport damage</x:v>
      </x:c>
      <x:c r="J10" t="str">
        <x:v>Yes</x:v>
      </x:c>
    </x:row>
    <x:row r="11">
      <x:c r="A11" t="str">
        <x:v>T-5010</x:v>
      </x:c>
      <x:c r="B11" s="10" t="n">
        <x:v>45949</x:v>
      </x:c>
      <x:c r="C11" t="str">
        <x:v>Mediterranean Pumps</x:v>
      </x:c>
      <x:c r="D11" t="str">
        <x:v>Motor Coupling</x:v>
      </x:c>
      <x:c r="E11" t="str">
        <x:v>Installation Support</x:v>
      </x:c>
      <x:c r="F11" t="str">
        <x:v>Low</x:v>
      </x:c>
      <x:c r="G11" s="14" t="n">
        <x:v>31.9</x:v>
      </x:c>
      <x:c r="H11" t="str">
        <x:v>Yes</x:v>
      </x:c>
      <x:c r="I11" t="str">
        <x:v>User misuse</x:v>
      </x:c>
      <x:c r="J11" t="str">
        <x:v>Yes</x:v>
      </x:c>
    </x:row>
    <x:row r="12">
      <x:c r="A12" t="str">
        <x:v>T-5011</x:v>
      </x:c>
      <x:c r="B12" s="10" t="n">
        <x:v>45715</x:v>
      </x:c>
      <x:c r="C12" t="str">
        <x:v>North Coast Trading</x:v>
      </x:c>
      <x:c r="D12" t="str">
        <x:v>Pump Assembly A</x:v>
      </x:c>
      <x:c r="E12" t="str">
        <x:v>Warranty Claim</x:v>
      </x:c>
      <x:c r="F12" t="str">
        <x:v>Medium</x:v>
      </x:c>
      <x:c r="G12" s="14" t="n">
        <x:v>50.4</x:v>
      </x:c>
      <x:c r="H12" t="str">
        <x:v>Yes</x:v>
      </x:c>
      <x:c r="I12" t="str">
        <x:v>Configuration issue</x:v>
      </x:c>
      <x:c r="J12" t="str">
        <x:v>No</x:v>
      </x:c>
    </x:row>
    <x:row r="13">
      <x:c r="A13" t="str">
        <x:v>T-5012</x:v>
      </x:c>
      <x:c r="B13" s="10" t="n">
        <x:v>46063</x:v>
      </x:c>
      <x:c r="C13" t="str">
        <x:v>Green Valley Group</x:v>
      </x:c>
      <x:c r="D13" t="str">
        <x:v>Pump Assembly B</x:v>
      </x:c>
      <x:c r="E13" t="str">
        <x:v>Warranty Claim</x:v>
      </x:c>
      <x:c r="F13" t="str">
        <x:v>Critical</x:v>
      </x:c>
      <x:c r="G13" s="14" t="n">
        <x:v>54.2</x:v>
      </x:c>
      <x:c r="H13" t="str">
        <x:v>No</x:v>
      </x:c>
      <x:c r="I13" t="str">
        <x:v>Configuration issue</x:v>
      </x:c>
      <x:c r="J13" t="str">
        <x:v>Yes</x:v>
      </x:c>
    </x:row>
    <x:row r="14">
      <x:c r="A14" t="str">
        <x:v>T-5013</x:v>
      </x:c>
      <x:c r="B14" s="10" t="n">
        <x:v>46040</x:v>
      </x:c>
      <x:c r="C14" t="str">
        <x:v>Desert Build Co.</x:v>
      </x:c>
      <x:c r="D14" t="str">
        <x:v>Sensor Pack</x:v>
      </x:c>
      <x:c r="E14" t="str">
        <x:v>Sensor Failure</x:v>
      </x:c>
      <x:c r="F14" t="str">
        <x:v>Medium</x:v>
      </x:c>
      <x:c r="G14" s="14" t="n">
        <x:v>7.4</x:v>
      </x:c>
      <x:c r="H14" t="str">
        <x:v>Yes</x:v>
      </x:c>
      <x:c r="I14" t="str">
        <x:v>Design weakness</x:v>
      </x:c>
      <x:c r="J14" t="str">
        <x:v>No</x:v>
      </x:c>
    </x:row>
    <x:row r="15">
      <x:c r="A15" t="str">
        <x:v>T-5014</x:v>
      </x:c>
      <x:c r="B15" s="10" t="n">
        <x:v>45832</x:v>
      </x:c>
      <x:c r="C15" t="str">
        <x:v>Tripoli Utilities</x:v>
      </x:c>
      <x:c r="D15" t="str">
        <x:v>Motor Coupling</x:v>
      </x:c>
      <x:c r="E15" t="str">
        <x:v>Calibration</x:v>
      </x:c>
      <x:c r="F15" t="str">
        <x:v>High</x:v>
      </x:c>
      <x:c r="G15" s="14" t="n">
        <x:v>45.6</x:v>
      </x:c>
      <x:c r="H15" t="str">
        <x:v>Yes</x:v>
      </x:c>
      <x:c r="I15" t="str">
        <x:v>Supplier defect</x:v>
      </x:c>
      <x:c r="J15" t="str">
        <x:v>Yes</x:v>
      </x:c>
    </x:row>
    <x:row r="16">
      <x:c r="A16" t="str">
        <x:v>T-5015</x:v>
      </x:c>
      <x:c r="B16" s="10" t="n">
        <x:v>45763</x:v>
      </x:c>
      <x:c r="C16" t="str">
        <x:v>Al Noor Industrial</x:v>
      </x:c>
      <x:c r="D16" t="str">
        <x:v>Motor Coupling</x:v>
      </x:c>
      <x:c r="E16" t="str">
        <x:v>Installation Support</x:v>
      </x:c>
      <x:c r="F16" t="str">
        <x:v>High</x:v>
      </x:c>
      <x:c r="G16" s="14" t="n">
        <x:v>56.3</x:v>
      </x:c>
      <x:c r="H16" t="str">
        <x:v>Yes</x:v>
      </x:c>
      <x:c r="I16" t="str">
        <x:v>Assembly error</x:v>
      </x:c>
      <x:c r="J16" t="str">
        <x:v>No</x:v>
      </x:c>
    </x:row>
    <x:row r="17">
      <x:c r="A17" t="str">
        <x:v>T-5016</x:v>
      </x:c>
      <x:c r="B17" s="10" t="n">
        <x:v>46017</x:v>
      </x:c>
      <x:c r="C17" t="str">
        <x:v>Tripoli Utilities</x:v>
      </x:c>
      <x:c r="D17" t="str">
        <x:v>Control Panel X</x:v>
      </x:c>
      <x:c r="E17" t="str">
        <x:v>Sensor Failure</x:v>
      </x:c>
      <x:c r="F17" t="str">
        <x:v>Medium</x:v>
      </x:c>
      <x:c r="G17" s="14" t="n">
        <x:v>69.8</x:v>
      </x:c>
      <x:c r="H17" t="str">
        <x:v>Yes</x:v>
      </x:c>
      <x:c r="I17" t="str">
        <x:v>Transport damage</x:v>
      </x:c>
      <x:c r="J17" t="str">
        <x:v>No</x:v>
      </x:c>
    </x:row>
    <x:row r="18">
      <x:c r="A18" t="str">
        <x:v>T-5017</x:v>
      </x:c>
      <x:c r="B18" s="10" t="n">
        <x:v>45688</x:v>
      </x:c>
      <x:c r="C18" t="str">
        <x:v>Sahara Tech</x:v>
      </x:c>
      <x:c r="D18" t="str">
        <x:v>Control Panel X</x:v>
      </x:c>
      <x:c r="E18" t="str">
        <x:v>Panel Error</x:v>
      </x:c>
      <x:c r="F18" t="str">
        <x:v>Medium</x:v>
      </x:c>
      <x:c r="G18" s="14" t="n">
        <x:v>15.3</x:v>
      </x:c>
      <x:c r="H18" t="str">
        <x:v>Yes</x:v>
      </x:c>
      <x:c r="I18" t="str">
        <x:v>Assembly error</x:v>
      </x:c>
      <x:c r="J18" t="str">
        <x:v>Yes</x:v>
      </x:c>
    </x:row>
    <x:row r="19">
      <x:c r="A19" t="str">
        <x:v>T-5018</x:v>
      </x:c>
      <x:c r="B19" s="10" t="n">
        <x:v>45907</x:v>
      </x:c>
      <x:c r="C19" t="str">
        <x:v>Mediterranean Pumps</x:v>
      </x:c>
      <x:c r="D19" t="str">
        <x:v>Pump Assembly B</x:v>
      </x:c>
      <x:c r="E19" t="str">
        <x:v>Calibration</x:v>
      </x:c>
      <x:c r="F19" t="str">
        <x:v>Low</x:v>
      </x:c>
      <x:c r="G19" s="14" t="n">
        <x:v>37.6</x:v>
      </x:c>
      <x:c r="H19" t="str">
        <x:v>Yes</x:v>
      </x:c>
      <x:c r="I19" t="str">
        <x:v>Configuration issue</x:v>
      </x:c>
      <x:c r="J19" t="str">
        <x:v>No</x:v>
      </x:c>
    </x:row>
    <x:row r="20">
      <x:c r="A20" t="str">
        <x:v>T-5019</x:v>
      </x:c>
      <x:c r="B20" s="10" t="n">
        <x:v>45811</x:v>
      </x:c>
      <x:c r="C20" t="str">
        <x:v>Sahara Tech</x:v>
      </x:c>
      <x:c r="D20" t="str">
        <x:v>Motor Coupling</x:v>
      </x:c>
      <x:c r="E20" t="str">
        <x:v>Sensor Failure</x:v>
      </x:c>
      <x:c r="F20" t="str">
        <x:v>Medium</x:v>
      </x:c>
      <x:c r="G20" s="14" t="n">
        <x:v>18.1</x:v>
      </x:c>
      <x:c r="H20" t="str">
        <x:v>Yes</x:v>
      </x:c>
      <x:c r="I20" t="str">
        <x:v>Supplier defect</x:v>
      </x:c>
      <x:c r="J20" t="str">
        <x:v>No</x:v>
      </x:c>
    </x:row>
    <x:row r="21">
      <x:c r="A21" t="str">
        <x:v>T-5020</x:v>
      </x:c>
      <x:c r="B21" s="10" t="n">
        <x:v>46047</x:v>
      </x:c>
      <x:c r="C21" t="str">
        <x:v>Sahara Tech</x:v>
      </x:c>
      <x:c r="D21" t="str">
        <x:v>Motor Coupling</x:v>
      </x:c>
      <x:c r="E21" t="str">
        <x:v>Calibration</x:v>
      </x:c>
      <x:c r="F21" t="str">
        <x:v>Low</x:v>
      </x:c>
      <x:c r="G21" s="14" t="n">
        <x:v>70.5</x:v>
      </x:c>
      <x:c r="H21" t="str">
        <x:v>Yes</x:v>
      </x:c>
      <x:c r="I21" t="str">
        <x:v>Design weakness</x:v>
      </x:c>
      <x:c r="J21" t="str">
        <x:v>Yes</x:v>
      </x:c>
    </x:row>
    <x:row r="22">
      <x:c r="A22" t="str">
        <x:v>T-5021</x:v>
      </x:c>
      <x:c r="B22" s="10" t="n">
        <x:v>45716</x:v>
      </x:c>
      <x:c r="C22" t="str">
        <x:v>North Coast Trading</x:v>
      </x:c>
      <x:c r="D22" t="str">
        <x:v>Pump Assembly A</x:v>
      </x:c>
      <x:c r="E22" t="str">
        <x:v>Panel Error</x:v>
      </x:c>
      <x:c r="F22" t="str">
        <x:v>Medium</x:v>
      </x:c>
      <x:c r="G22" s="14" t="n">
        <x:v>4.1</x:v>
      </x:c>
      <x:c r="H22" t="str">
        <x:v>Yes</x:v>
      </x:c>
      <x:c r="I22" t="str">
        <x:v>User misuse</x:v>
      </x:c>
      <x:c r="J22" t="str">
        <x:v>No</x:v>
      </x:c>
    </x:row>
    <x:row r="23">
      <x:c r="A23" t="str">
        <x:v>T-5022</x:v>
      </x:c>
      <x:c r="B23" s="10" t="n">
        <x:v>46017</x:v>
      </x:c>
      <x:c r="C23" t="str">
        <x:v>North Coast Trading</x:v>
      </x:c>
      <x:c r="D23" t="str">
        <x:v>Control Panel Z</x:v>
      </x:c>
      <x:c r="E23" t="str">
        <x:v>Leakage</x:v>
      </x:c>
      <x:c r="F23" t="str">
        <x:v>Low</x:v>
      </x:c>
      <x:c r="G23" s="14" t="n">
        <x:v>32.6</x:v>
      </x:c>
      <x:c r="H23" t="str">
        <x:v>Yes</x:v>
      </x:c>
      <x:c r="I23" t="str">
        <x:v>User misuse</x:v>
      </x:c>
      <x:c r="J23" t="str">
        <x:v>No</x:v>
      </x:c>
    </x:row>
    <x:row r="24">
      <x:c r="A24" t="str">
        <x:v>T-5023</x:v>
      </x:c>
      <x:c r="B24" s="10" t="n">
        <x:v>45694</x:v>
      </x:c>
      <x:c r="C24" t="str">
        <x:v>Atlas Oil Services</x:v>
      </x:c>
      <x:c r="D24" t="str">
        <x:v>Pump Assembly A</x:v>
      </x:c>
      <x:c r="E24" t="str">
        <x:v>Late Delivery</x:v>
      </x:c>
      <x:c r="F24" t="str">
        <x:v>Critical</x:v>
      </x:c>
      <x:c r="G24" s="14" t="n">
        <x:v>54.3</x:v>
      </x:c>
      <x:c r="H24" t="str">
        <x:v>No</x:v>
      </x:c>
      <x:c r="I24" t="str">
        <x:v>Configuration issue</x:v>
      </x:c>
      <x:c r="J24" t="str">
        <x:v>No</x:v>
      </x:c>
    </x:row>
    <x:row r="25">
      <x:c r="A25" t="str">
        <x:v>T-5024</x:v>
      </x:c>
      <x:c r="B25" s="10" t="n">
        <x:v>46036</x:v>
      </x:c>
      <x:c r="C25" t="str">
        <x:v>Desert Build Co.</x:v>
      </x:c>
      <x:c r="D25" t="str">
        <x:v>Control Panel X</x:v>
      </x:c>
      <x:c r="E25" t="str">
        <x:v>Leakage</x:v>
      </x:c>
      <x:c r="F25" t="str">
        <x:v>High</x:v>
      </x:c>
      <x:c r="G25" s="14" t="n">
        <x:v>68.9</x:v>
      </x:c>
      <x:c r="H25" t="str">
        <x:v>Yes</x:v>
      </x:c>
      <x:c r="I25" t="str">
        <x:v>Transport damage</x:v>
      </x:c>
      <x:c r="J25" t="str">
        <x:v>No</x:v>
      </x:c>
    </x:row>
    <x:row r="26">
      <x:c r="A26" t="str">
        <x:v>T-5025</x:v>
      </x:c>
      <x:c r="B26" s="10" t="n">
        <x:v>45841</x:v>
      </x:c>
      <x:c r="C26" t="str">
        <x:v>Blue Delta Foods</x:v>
      </x:c>
      <x:c r="D26" t="str">
        <x:v>Motor Coupling</x:v>
      </x:c>
      <x:c r="E26" t="str">
        <x:v>Panel Error</x:v>
      </x:c>
      <x:c r="F26" t="str">
        <x:v>Medium</x:v>
      </x:c>
      <x:c r="G26" s="14" t="n">
        <x:v>67.4</x:v>
      </x:c>
      <x:c r="H26" t="str">
        <x:v>Yes</x:v>
      </x:c>
      <x:c r="I26" t="str">
        <x:v>User misuse</x:v>
      </x:c>
      <x:c r="J26" t="str">
        <x:v>Yes</x:v>
      </x:c>
    </x:row>
    <x:row r="27">
      <x:c r="A27" t="str">
        <x:v>T-5026</x:v>
      </x:c>
      <x:c r="B27" s="10" t="n">
        <x:v>45698</x:v>
      </x:c>
      <x:c r="C27" t="str">
        <x:v>Sahara Tech</x:v>
      </x:c>
      <x:c r="D27" t="str">
        <x:v>Motor Coupling</x:v>
      </x:c>
      <x:c r="E27" t="str">
        <x:v>Leakage</x:v>
      </x:c>
      <x:c r="F27" t="str">
        <x:v>Low</x:v>
      </x:c>
      <x:c r="G27" s="14" t="n">
        <x:v>29.1</x:v>
      </x:c>
      <x:c r="H27" t="str">
        <x:v>Yes</x:v>
      </x:c>
      <x:c r="I27" t="str">
        <x:v>User misuse</x:v>
      </x:c>
      <x:c r="J27" t="str">
        <x:v>No</x:v>
      </x:c>
    </x:row>
    <x:row r="28">
      <x:c r="A28" t="str">
        <x:v>T-5027</x:v>
      </x:c>
      <x:c r="B28" s="10" t="n">
        <x:v>45984</x:v>
      </x:c>
      <x:c r="C28" t="str">
        <x:v>Tripoli Utilities</x:v>
      </x:c>
      <x:c r="D28" t="str">
        <x:v>Sensor Pack</x:v>
      </x:c>
      <x:c r="E28" t="str">
        <x:v>Calibration</x:v>
      </x:c>
      <x:c r="F28" t="str">
        <x:v>Low</x:v>
      </x:c>
      <x:c r="G28" s="14" t="n">
        <x:v>56.7</x:v>
      </x:c>
      <x:c r="H28" t="str">
        <x:v>Yes</x:v>
      </x:c>
      <x:c r="I28" t="str">
        <x:v>Configuration issue</x:v>
      </x:c>
      <x:c r="J28" t="str">
        <x:v>Yes</x:v>
      </x:c>
    </x:row>
    <x:row r="29">
      <x:c r="A29" t="str">
        <x:v>T-5028</x:v>
      </x:c>
      <x:c r="B29" s="10" t="n">
        <x:v>45852</x:v>
      </x:c>
      <x:c r="C29" t="str">
        <x:v>Sahara Tech</x:v>
      </x:c>
      <x:c r="D29" t="str">
        <x:v>Motor Coupling</x:v>
      </x:c>
      <x:c r="E29" t="str">
        <x:v>Warranty Claim</x:v>
      </x:c>
      <x:c r="F29" t="str">
        <x:v>Medium</x:v>
      </x:c>
      <x:c r="G29" s="14" t="n">
        <x:v>17.3</x:v>
      </x:c>
      <x:c r="H29" t="str">
        <x:v>Yes</x:v>
      </x:c>
      <x:c r="I29" t="str">
        <x:v>User misuse</x:v>
      </x:c>
      <x:c r="J29" t="str">
        <x:v>Yes</x:v>
      </x:c>
    </x:row>
    <x:row r="30">
      <x:c r="A30" t="str">
        <x:v>T-5029</x:v>
      </x:c>
      <x:c r="B30" s="10" t="n">
        <x:v>45787</x:v>
      </x:c>
      <x:c r="C30" t="str">
        <x:v>Misrata Energy</x:v>
      </x:c>
      <x:c r="D30" t="str">
        <x:v>Pump Assembly A</x:v>
      </x:c>
      <x:c r="E30" t="str">
        <x:v>Leakage</x:v>
      </x:c>
      <x:c r="F30" t="str">
        <x:v>Low</x:v>
      </x:c>
      <x:c r="G30" s="14" t="n">
        <x:v>58</x:v>
      </x:c>
      <x:c r="H30" t="str">
        <x:v>Yes</x:v>
      </x:c>
      <x:c r="I30" t="str">
        <x:v>Configuration issue</x:v>
      </x:c>
      <x:c r="J30" t="str">
        <x:v>No</x:v>
      </x:c>
    </x:row>
    <x:row r="31">
      <x:c r="A31" t="str">
        <x:v>T-5030</x:v>
      </x:c>
      <x:c r="B31" s="10" t="n">
        <x:v>45683</x:v>
      </x:c>
      <x:c r="C31" t="str">
        <x:v>Misrata Energy</x:v>
      </x:c>
      <x:c r="D31" t="str">
        <x:v>Control Panel Z</x:v>
      </x:c>
      <x:c r="E31" t="str">
        <x:v>Late Delivery</x:v>
      </x:c>
      <x:c r="F31" t="str">
        <x:v>Medium</x:v>
      </x:c>
      <x:c r="G31" s="14" t="n">
        <x:v>12.2</x:v>
      </x:c>
      <x:c r="H31" t="str">
        <x:v>Yes</x:v>
      </x:c>
      <x:c r="I31" t="str">
        <x:v>Transport damage</x:v>
      </x:c>
      <x:c r="J31" t="str">
        <x:v>Yes</x:v>
      </x:c>
    </x:row>
    <x:row r="32">
      <x:c r="A32" t="str">
        <x:v>T-5031</x:v>
      </x:c>
      <x:c r="B32" s="10" t="n">
        <x:v>45730</x:v>
      </x:c>
      <x:c r="C32" t="str">
        <x:v>Misrata Energy</x:v>
      </x:c>
      <x:c r="D32" t="str">
        <x:v>Pump Assembly B</x:v>
      </x:c>
      <x:c r="E32" t="str">
        <x:v>Sensor Failure</x:v>
      </x:c>
      <x:c r="F32" t="str">
        <x:v>Medium</x:v>
      </x:c>
      <x:c r="G32" s="14" t="n">
        <x:v>69.9</x:v>
      </x:c>
      <x:c r="H32" t="str">
        <x:v>No</x:v>
      </x:c>
      <x:c r="I32" t="str">
        <x:v>Supplier defect</x:v>
      </x:c>
      <x:c r="J32" t="str">
        <x:v>Yes</x:v>
      </x:c>
    </x:row>
    <x:row r="33">
      <x:c r="A33" t="str">
        <x:v>T-5032</x:v>
      </x:c>
      <x:c r="B33" s="10" t="n">
        <x:v>45903</x:v>
      </x:c>
      <x:c r="C33" t="str">
        <x:v>Misrata Energy</x:v>
      </x:c>
      <x:c r="D33" t="str">
        <x:v>Pump Assembly B</x:v>
      </x:c>
      <x:c r="E33" t="str">
        <x:v>Calibration</x:v>
      </x:c>
      <x:c r="F33" t="str">
        <x:v>Medium</x:v>
      </x:c>
      <x:c r="G33" s="14" t="n">
        <x:v>3.3</x:v>
      </x:c>
      <x:c r="H33" t="str">
        <x:v>Yes</x:v>
      </x:c>
      <x:c r="I33" t="str">
        <x:v>Transport damage</x:v>
      </x:c>
      <x:c r="J33" t="str">
        <x:v>No</x:v>
      </x:c>
    </x:row>
    <x:row r="34">
      <x:c r="A34" t="str">
        <x:v>T-5033</x:v>
      </x:c>
      <x:c r="B34" s="10" t="n">
        <x:v>45803</x:v>
      </x:c>
      <x:c r="C34" t="str">
        <x:v>Blue Delta Foods</x:v>
      </x:c>
      <x:c r="D34" t="str">
        <x:v>Motor Coupling</x:v>
      </x:c>
      <x:c r="E34" t="str">
        <x:v>Leakage</x:v>
      </x:c>
      <x:c r="F34" t="str">
        <x:v>Medium</x:v>
      </x:c>
      <x:c r="G34" s="14" t="n">
        <x:v>30.9</x:v>
      </x:c>
      <x:c r="H34" t="str">
        <x:v>Yes</x:v>
      </x:c>
      <x:c r="I34" t="str">
        <x:v>Design weakness</x:v>
      </x:c>
      <x:c r="J34" t="str">
        <x:v>No</x:v>
      </x:c>
    </x:row>
    <x:row r="35">
      <x:c r="A35" t="str">
        <x:v>T-5034</x:v>
      </x:c>
      <x:c r="B35" s="10" t="n">
        <x:v>46080</x:v>
      </x:c>
      <x:c r="C35" t="str">
        <x:v>Sahara Tech</x:v>
      </x:c>
      <x:c r="D35" t="str">
        <x:v>Motor Coupling</x:v>
      </x:c>
      <x:c r="E35" t="str">
        <x:v>Sensor Failure</x:v>
      </x:c>
      <x:c r="F35" t="str">
        <x:v>Medium</x:v>
      </x:c>
      <x:c r="G35" s="14" t="n">
        <x:v>1.3</x:v>
      </x:c>
      <x:c r="H35" t="str">
        <x:v>Yes</x:v>
      </x:c>
      <x:c r="I35" t="str">
        <x:v>Configuration issue</x:v>
      </x:c>
      <x:c r="J35" t="str">
        <x:v>No</x:v>
      </x:c>
    </x:row>
    <x:row r="36">
      <x:c r="A36" t="str">
        <x:v>T-5035</x:v>
      </x:c>
      <x:c r="B36" s="10" t="n">
        <x:v>45758</x:v>
      </x:c>
      <x:c r="C36" t="str">
        <x:v>Mediterranean Pumps</x:v>
      </x:c>
      <x:c r="D36" t="str">
        <x:v>Pump Assembly A</x:v>
      </x:c>
      <x:c r="E36" t="str">
        <x:v>Installation Support</x:v>
      </x:c>
      <x:c r="F36" t="str">
        <x:v>Medium</x:v>
      </x:c>
      <x:c r="G36" s="14" t="n">
        <x:v>33.7</x:v>
      </x:c>
      <x:c r="H36" t="str">
        <x:v>Yes</x:v>
      </x:c>
      <x:c r="I36" t="str">
        <x:v>Configuration issue</x:v>
      </x:c>
      <x:c r="J36" t="str">
        <x:v>Yes</x:v>
      </x:c>
    </x:row>
    <x:row r="37">
      <x:c r="A37" t="str">
        <x:v>T-5036</x:v>
      </x:c>
      <x:c r="B37" s="10" t="n">
        <x:v>45863</x:v>
      </x:c>
      <x:c r="C37" t="str">
        <x:v>Desert Build Co.</x:v>
      </x:c>
      <x:c r="D37" t="str">
        <x:v>Seal Kit</x:v>
      </x:c>
      <x:c r="E37" t="str">
        <x:v>Leakage</x:v>
      </x:c>
      <x:c r="F37" t="str">
        <x:v>High</x:v>
      </x:c>
      <x:c r="G37" s="14" t="n">
        <x:v>5.3</x:v>
      </x:c>
      <x:c r="H37" t="str">
        <x:v>Yes</x:v>
      </x:c>
      <x:c r="I37" t="str">
        <x:v>Transport damage</x:v>
      </x:c>
      <x:c r="J37" t="str">
        <x:v>Yes</x:v>
      </x:c>
    </x:row>
    <x:row r="38">
      <x:c r="A38" t="str">
        <x:v>T-5037</x:v>
      </x:c>
      <x:c r="B38" s="10" t="n">
        <x:v>45947</x:v>
      </x:c>
      <x:c r="C38" t="str">
        <x:v>Desert Build Co.</x:v>
      </x:c>
      <x:c r="D38" t="str">
        <x:v>Control Panel Z</x:v>
      </x:c>
      <x:c r="E38" t="str">
        <x:v>Panel Error</x:v>
      </x:c>
      <x:c r="F38" t="str">
        <x:v>Medium</x:v>
      </x:c>
      <x:c r="G38" s="14" t="n">
        <x:v>47</x:v>
      </x:c>
      <x:c r="H38" t="str">
        <x:v>Yes</x:v>
      </x:c>
      <x:c r="I38" t="str">
        <x:v>User misuse</x:v>
      </x:c>
      <x:c r="J38" t="str">
        <x:v>No</x:v>
      </x:c>
    </x:row>
    <x:row r="39">
      <x:c r="A39" t="str">
        <x:v>T-5038</x:v>
      </x:c>
      <x:c r="B39" s="10" t="n">
        <x:v>45982</x:v>
      </x:c>
      <x:c r="C39" t="str">
        <x:v>Atlas Oil Services</x:v>
      </x:c>
      <x:c r="D39" t="str">
        <x:v>Sensor Pack</x:v>
      </x:c>
      <x:c r="E39" t="str">
        <x:v>Sensor Failure</x:v>
      </x:c>
      <x:c r="F39" t="str">
        <x:v>Low</x:v>
      </x:c>
      <x:c r="G39" s="14" t="n">
        <x:v>53.5</x:v>
      </x:c>
      <x:c r="H39" t="str">
        <x:v>Yes</x:v>
      </x:c>
      <x:c r="I39" t="str">
        <x:v>Assembly error</x:v>
      </x:c>
      <x:c r="J39" t="str">
        <x:v>Yes</x:v>
      </x:c>
    </x:row>
    <x:row r="40">
      <x:c r="A40" t="str">
        <x:v>T-5039</x:v>
      </x:c>
      <x:c r="B40" s="10" t="n">
        <x:v>45848</x:v>
      </x:c>
      <x:c r="C40" t="str">
        <x:v>Tripoli Utilities</x:v>
      </x:c>
      <x:c r="D40" t="str">
        <x:v>Seal Kit</x:v>
      </x:c>
      <x:c r="E40" t="str">
        <x:v>Late Delivery</x:v>
      </x:c>
      <x:c r="F40" t="str">
        <x:v>Medium</x:v>
      </x:c>
      <x:c r="G40" s="14" t="n">
        <x:v>18.1</x:v>
      </x:c>
      <x:c r="H40" t="str">
        <x:v>Yes</x:v>
      </x:c>
      <x:c r="I40" t="str">
        <x:v>User misuse</x:v>
      </x:c>
      <x:c r="J40" t="str">
        <x:v>No</x:v>
      </x:c>
    </x:row>
    <x:row r="41">
      <x:c r="A41" t="str">
        <x:v>T-5040</x:v>
      </x:c>
      <x:c r="B41" s="10" t="n">
        <x:v>45750</x:v>
      </x:c>
      <x:c r="C41" t="str">
        <x:v>Misrata Energy</x:v>
      </x:c>
      <x:c r="D41" t="str">
        <x:v>Seal Kit</x:v>
      </x:c>
      <x:c r="E41" t="str">
        <x:v>Calibration</x:v>
      </x:c>
      <x:c r="F41" t="str">
        <x:v>Low</x:v>
      </x:c>
      <x:c r="G41" s="14" t="n">
        <x:v>62.2</x:v>
      </x:c>
      <x:c r="H41" t="str">
        <x:v>Yes</x:v>
      </x:c>
      <x:c r="I41" t="str">
        <x:v>Supplier defect</x:v>
      </x:c>
      <x:c r="J41" t="str">
        <x:v>No</x:v>
      </x:c>
    </x:row>
    <x:row r="42">
      <x:c r="A42" t="str">
        <x:v>T-5041</x:v>
      </x:c>
      <x:c r="B42" s="10" t="n">
        <x:v>46001</x:v>
      </x:c>
      <x:c r="C42" t="str">
        <x:v>North Coast Trading</x:v>
      </x:c>
      <x:c r="D42" t="str">
        <x:v>Motor Coupling</x:v>
      </x:c>
      <x:c r="E42" t="str">
        <x:v>Late Delivery</x:v>
      </x:c>
      <x:c r="F42" t="str">
        <x:v>Low</x:v>
      </x:c>
      <x:c r="G42" s="14" t="n">
        <x:v>33.5</x:v>
      </x:c>
      <x:c r="H42" t="str">
        <x:v>Yes</x:v>
      </x:c>
      <x:c r="I42" t="str">
        <x:v>Configuration issue</x:v>
      </x:c>
      <x:c r="J42" t="str">
        <x:v>No</x:v>
      </x:c>
    </x:row>
    <x:row r="43">
      <x:c r="A43" t="str">
        <x:v>T-5042</x:v>
      </x:c>
      <x:c r="B43" s="10" t="n">
        <x:v>45920</x:v>
      </x:c>
      <x:c r="C43" t="str">
        <x:v>Desert Build Co.</x:v>
      </x:c>
      <x:c r="D43" t="str">
        <x:v>Seal Kit</x:v>
      </x:c>
      <x:c r="E43" t="str">
        <x:v>Leakage</x:v>
      </x:c>
      <x:c r="F43" t="str">
        <x:v>High</x:v>
      </x:c>
      <x:c r="G43" s="14" t="n">
        <x:v>49.2</x:v>
      </x:c>
      <x:c r="H43" t="str">
        <x:v>Yes</x:v>
      </x:c>
      <x:c r="I43" t="str">
        <x:v>Assembly error</x:v>
      </x:c>
      <x:c r="J43" t="str">
        <x:v>Yes</x:v>
      </x:c>
    </x:row>
    <x:row r="44">
      <x:c r="A44" t="str">
        <x:v>T-5043</x:v>
      </x:c>
      <x:c r="B44" s="10" t="n">
        <x:v>45939</x:v>
      </x:c>
      <x:c r="C44" t="str">
        <x:v>Tripoli Utilities</x:v>
      </x:c>
      <x:c r="D44" t="str">
        <x:v>Motor Coupling</x:v>
      </x:c>
      <x:c r="E44" t="str">
        <x:v>Warranty Claim</x:v>
      </x:c>
      <x:c r="F44" t="str">
        <x:v>High</x:v>
      </x:c>
      <x:c r="G44" s="14" t="n">
        <x:v>9.1</x:v>
      </x:c>
      <x:c r="H44" t="str">
        <x:v>Yes</x:v>
      </x:c>
      <x:c r="I44" t="str">
        <x:v>Configuration issue</x:v>
      </x:c>
      <x:c r="J44" t="str">
        <x:v>No</x:v>
      </x:c>
    </x:row>
    <x:row r="45">
      <x:c r="A45" t="str">
        <x:v>T-5044</x:v>
      </x:c>
      <x:c r="B45" s="10" t="n">
        <x:v>45893</x:v>
      </x:c>
      <x:c r="C45" t="str">
        <x:v>Al Noor Industrial</x:v>
      </x:c>
      <x:c r="D45" t="str">
        <x:v>Seal Kit</x:v>
      </x:c>
      <x:c r="E45" t="str">
        <x:v>Sensor Failure</x:v>
      </x:c>
      <x:c r="F45" t="str">
        <x:v>Critical</x:v>
      </x:c>
      <x:c r="G45" s="14" t="n">
        <x:v>14.6</x:v>
      </x:c>
      <x:c r="H45" t="str">
        <x:v>Yes</x:v>
      </x:c>
      <x:c r="I45" t="str">
        <x:v>Supplier defect</x:v>
      </x:c>
      <x:c r="J45" t="str">
        <x:v>No</x:v>
      </x:c>
    </x:row>
    <x:row r="46">
      <x:c r="A46" t="str">
        <x:v>T-5045</x:v>
      </x:c>
      <x:c r="B46" s="10" t="n">
        <x:v>46055</x:v>
      </x:c>
      <x:c r="C46" t="str">
        <x:v>Desert Build Co.</x:v>
      </x:c>
      <x:c r="D46" t="str">
        <x:v>Pump Assembly A</x:v>
      </x:c>
      <x:c r="E46" t="str">
        <x:v>Late Delivery</x:v>
      </x:c>
      <x:c r="F46" t="str">
        <x:v>Low</x:v>
      </x:c>
      <x:c r="G46" s="14" t="n">
        <x:v>27.4</x:v>
      </x:c>
      <x:c r="H46" t="str">
        <x:v>No</x:v>
      </x:c>
      <x:c r="I46" t="str">
        <x:v>Transport damage</x:v>
      </x:c>
      <x:c r="J46" t="str">
        <x:v>Yes</x:v>
      </x:c>
    </x:row>
    <x:row r="47">
      <x:c r="A47" t="str">
        <x:v>T-5046</x:v>
      </x:c>
      <x:c r="B47" s="10" t="n">
        <x:v>45893</x:v>
      </x:c>
      <x:c r="C47" t="str">
        <x:v>North Coast Trading</x:v>
      </x:c>
      <x:c r="D47" t="str">
        <x:v>Pump Assembly A</x:v>
      </x:c>
      <x:c r="E47" t="str">
        <x:v>Calibration</x:v>
      </x:c>
      <x:c r="F47" t="str">
        <x:v>Low</x:v>
      </x:c>
      <x:c r="G47" s="14" t="n">
        <x:v>65.5</x:v>
      </x:c>
      <x:c r="H47" t="str">
        <x:v>No</x:v>
      </x:c>
      <x:c r="I47" t="str">
        <x:v>Assembly error</x:v>
      </x:c>
      <x:c r="J47" t="str">
        <x:v>No</x:v>
      </x:c>
    </x:row>
    <x:row r="48">
      <x:c r="A48" t="str">
        <x:v>T-5047</x:v>
      </x:c>
      <x:c r="B48" s="10" t="n">
        <x:v>46030</x:v>
      </x:c>
      <x:c r="C48" t="str">
        <x:v>Green Valley Group</x:v>
      </x:c>
      <x:c r="D48" t="str">
        <x:v>Pump Assembly B</x:v>
      </x:c>
      <x:c r="E48" t="str">
        <x:v>Panel Error</x:v>
      </x:c>
      <x:c r="F48" t="str">
        <x:v>High</x:v>
      </x:c>
      <x:c r="G48" s="14" t="n">
        <x:v>25.2</x:v>
      </x:c>
      <x:c r="H48" t="str">
        <x:v>Yes</x:v>
      </x:c>
      <x:c r="I48" t="str">
        <x:v>Configuration issue</x:v>
      </x:c>
      <x:c r="J48" t="str">
        <x:v>No</x:v>
      </x:c>
    </x:row>
    <x:row r="49">
      <x:c r="A49" t="str">
        <x:v>T-5048</x:v>
      </x:c>
      <x:c r="B49" s="10" t="n">
        <x:v>45788</x:v>
      </x:c>
      <x:c r="C49" t="str">
        <x:v>Blue Delta Foods</x:v>
      </x:c>
      <x:c r="D49" t="str">
        <x:v>Pump Assembly B</x:v>
      </x:c>
      <x:c r="E49" t="str">
        <x:v>Panel Error</x:v>
      </x:c>
      <x:c r="F49" t="str">
        <x:v>Medium</x:v>
      </x:c>
      <x:c r="G49" s="14" t="n">
        <x:v>38.3</x:v>
      </x:c>
      <x:c r="H49" t="str">
        <x:v>Yes</x:v>
      </x:c>
      <x:c r="I49" t="str">
        <x:v>Design weakness</x:v>
      </x:c>
      <x:c r="J49" t="str">
        <x:v>No</x:v>
      </x:c>
    </x:row>
    <x:row r="50">
      <x:c r="A50" t="str">
        <x:v>T-5049</x:v>
      </x:c>
      <x:c r="B50" s="10" t="n">
        <x:v>45967</x:v>
      </x:c>
      <x:c r="C50" t="str">
        <x:v>Green Valley Group</x:v>
      </x:c>
      <x:c r="D50" t="str">
        <x:v>Pump Assembly A</x:v>
      </x:c>
      <x:c r="E50" t="str">
        <x:v>Panel Error</x:v>
      </x:c>
      <x:c r="F50" t="str">
        <x:v>Medium</x:v>
      </x:c>
      <x:c r="G50" s="14" t="n">
        <x:v>58</x:v>
      </x:c>
      <x:c r="H50" t="str">
        <x:v>Yes</x:v>
      </x:c>
      <x:c r="I50" t="str">
        <x:v>Configuration issue</x:v>
      </x:c>
      <x:c r="J50" t="str">
        <x:v>No</x:v>
      </x:c>
    </x:row>
    <x:row r="51">
      <x:c r="A51" t="str">
        <x:v>T-5050</x:v>
      </x:c>
      <x:c r="B51" s="10" t="n">
        <x:v>45839</x:v>
      </x:c>
      <x:c r="C51" t="str">
        <x:v>Misrata Energy</x:v>
      </x:c>
      <x:c r="D51" t="str">
        <x:v>Motor Coupling</x:v>
      </x:c>
      <x:c r="E51" t="str">
        <x:v>Late Delivery</x:v>
      </x:c>
      <x:c r="F51" t="str">
        <x:v>Low</x:v>
      </x:c>
      <x:c r="G51" s="14" t="n">
        <x:v>71.2</x:v>
      </x:c>
      <x:c r="H51" t="str">
        <x:v>Yes</x:v>
      </x:c>
      <x:c r="I51" t="str">
        <x:v>Supplier defect</x:v>
      </x:c>
      <x:c r="J51" t="str">
        <x:v>No</x:v>
      </x:c>
    </x:row>
    <x:row r="52">
      <x:c r="A52" t="str">
        <x:v>T-5051</x:v>
      </x:c>
      <x:c r="B52" s="10" t="n">
        <x:v>45695</x:v>
      </x:c>
      <x:c r="C52" t="str">
        <x:v>North Coast Trading</x:v>
      </x:c>
      <x:c r="D52" t="str">
        <x:v>Pump Assembly B</x:v>
      </x:c>
      <x:c r="E52" t="str">
        <x:v>Sensor Failure</x:v>
      </x:c>
      <x:c r="F52" t="str">
        <x:v>Medium</x:v>
      </x:c>
      <x:c r="G52" s="14" t="n">
        <x:v>21.6</x:v>
      </x:c>
      <x:c r="H52" t="str">
        <x:v>Yes</x:v>
      </x:c>
      <x:c r="I52" t="str">
        <x:v>Design weakness</x:v>
      </x:c>
      <x:c r="J52" t="str">
        <x:v>Yes</x:v>
      </x:c>
    </x:row>
    <x:row r="53">
      <x:c r="A53" t="str">
        <x:v>T-5052</x:v>
      </x:c>
      <x:c r="B53" s="10" t="n">
        <x:v>45959</x:v>
      </x:c>
      <x:c r="C53" t="str">
        <x:v>North Coast Trading</x:v>
      </x:c>
      <x:c r="D53" t="str">
        <x:v>Seal Kit</x:v>
      </x:c>
      <x:c r="E53" t="str">
        <x:v>Calibration</x:v>
      </x:c>
      <x:c r="F53" t="str">
        <x:v>High</x:v>
      </x:c>
      <x:c r="G53" s="14" t="n">
        <x:v>20.1</x:v>
      </x:c>
      <x:c r="H53" t="str">
        <x:v>Yes</x:v>
      </x:c>
      <x:c r="I53" t="str">
        <x:v>Supplier defect</x:v>
      </x:c>
      <x:c r="J53" t="str">
        <x:v>No</x:v>
      </x:c>
    </x:row>
    <x:row r="54">
      <x:c r="A54" t="str">
        <x:v>T-5053</x:v>
      </x:c>
      <x:c r="B54" s="10" t="n">
        <x:v>45735</x:v>
      </x:c>
      <x:c r="C54" t="str">
        <x:v>Mediterranean Pumps</x:v>
      </x:c>
      <x:c r="D54" t="str">
        <x:v>Seal Kit</x:v>
      </x:c>
      <x:c r="E54" t="str">
        <x:v>Late Delivery</x:v>
      </x:c>
      <x:c r="F54" t="str">
        <x:v>High</x:v>
      </x:c>
      <x:c r="G54" s="14" t="n">
        <x:v>57.8</x:v>
      </x:c>
      <x:c r="H54" t="str">
        <x:v>No</x:v>
      </x:c>
      <x:c r="I54" t="str">
        <x:v>Assembly error</x:v>
      </x:c>
      <x:c r="J54" t="str">
        <x:v>Yes</x:v>
      </x:c>
    </x:row>
    <x:row r="55">
      <x:c r="A55" t="str">
        <x:v>T-5054</x:v>
      </x:c>
      <x:c r="B55" s="10" t="n">
        <x:v>45988</x:v>
      </x:c>
      <x:c r="C55" t="str">
        <x:v>Desert Build Co.</x:v>
      </x:c>
      <x:c r="D55" t="str">
        <x:v>Control Panel Z</x:v>
      </x:c>
      <x:c r="E55" t="str">
        <x:v>Warranty Claim</x:v>
      </x:c>
      <x:c r="F55" t="str">
        <x:v>Medium</x:v>
      </x:c>
      <x:c r="G55" s="14" t="n">
        <x:v>12.2</x:v>
      </x:c>
      <x:c r="H55" t="str">
        <x:v>Yes</x:v>
      </x:c>
      <x:c r="I55" t="str">
        <x:v>Design weakness</x:v>
      </x:c>
      <x:c r="J55" t="str">
        <x:v>No</x:v>
      </x:c>
    </x:row>
    <x:row r="56">
      <x:c r="A56" t="str">
        <x:v>T-5055</x:v>
      </x:c>
      <x:c r="B56" s="10" t="n">
        <x:v>45970</x:v>
      </x:c>
      <x:c r="C56" t="str">
        <x:v>Tripoli Utilities</x:v>
      </x:c>
      <x:c r="D56" t="str">
        <x:v>Pump Assembly A</x:v>
      </x:c>
      <x:c r="E56" t="str">
        <x:v>Panel Error</x:v>
      </x:c>
      <x:c r="F56" t="str">
        <x:v>Medium</x:v>
      </x:c>
      <x:c r="G56" s="14" t="n">
        <x:v>16.4</x:v>
      </x:c>
      <x:c r="H56" t="str">
        <x:v>Yes</x:v>
      </x:c>
      <x:c r="I56" t="str">
        <x:v>Transport damage</x:v>
      </x:c>
      <x:c r="J56" t="str">
        <x:v>Yes</x:v>
      </x:c>
    </x:row>
    <x:row r="57">
      <x:c r="A57" t="str">
        <x:v>T-5056</x:v>
      </x:c>
      <x:c r="B57" s="10" t="n">
        <x:v>45766</x:v>
      </x:c>
      <x:c r="C57" t="str">
        <x:v>Sahara Tech</x:v>
      </x:c>
      <x:c r="D57" t="str">
        <x:v>Sensor Pack</x:v>
      </x:c>
      <x:c r="E57" t="str">
        <x:v>Panel Error</x:v>
      </x:c>
      <x:c r="F57" t="str">
        <x:v>High</x:v>
      </x:c>
      <x:c r="G57" s="14" t="n">
        <x:v>24.5</x:v>
      </x:c>
      <x:c r="H57" t="str">
        <x:v>Yes</x:v>
      </x:c>
      <x:c r="I57" t="str">
        <x:v>User misuse</x:v>
      </x:c>
      <x:c r="J57" t="str">
        <x:v>No</x:v>
      </x:c>
    </x:row>
    <x:row r="58">
      <x:c r="A58" t="str">
        <x:v>T-5057</x:v>
      </x:c>
      <x:c r="B58" s="10" t="n">
        <x:v>45829</x:v>
      </x:c>
      <x:c r="C58" t="str">
        <x:v>Desert Build Co.</x:v>
      </x:c>
      <x:c r="D58" t="str">
        <x:v>Control Panel Z</x:v>
      </x:c>
      <x:c r="E58" t="str">
        <x:v>Panel Error</x:v>
      </x:c>
      <x:c r="F58" t="str">
        <x:v>Low</x:v>
      </x:c>
      <x:c r="G58" s="14" t="n">
        <x:v>18.7</x:v>
      </x:c>
      <x:c r="H58" t="str">
        <x:v>Yes</x:v>
      </x:c>
      <x:c r="I58" t="str">
        <x:v>Transport damage</x:v>
      </x:c>
      <x:c r="J58" t="str">
        <x:v>No</x:v>
      </x:c>
    </x:row>
    <x:row r="59">
      <x:c r="A59" t="str">
        <x:v>T-5058</x:v>
      </x:c>
      <x:c r="B59" s="10" t="n">
        <x:v>45732</x:v>
      </x:c>
      <x:c r="C59" t="str">
        <x:v>Sahara Tech</x:v>
      </x:c>
      <x:c r="D59" t="str">
        <x:v>Control Panel X</x:v>
      </x:c>
      <x:c r="E59" t="str">
        <x:v>Late Delivery</x:v>
      </x:c>
      <x:c r="F59" t="str">
        <x:v>Low</x:v>
      </x:c>
      <x:c r="G59" s="14" t="n">
        <x:v>36.5</x:v>
      </x:c>
      <x:c r="H59" t="str">
        <x:v>Yes</x:v>
      </x:c>
      <x:c r="I59" t="str">
        <x:v>Transport damage</x:v>
      </x:c>
      <x:c r="J59" t="str">
        <x:v>No</x:v>
      </x:c>
    </x:row>
    <x:row r="60">
      <x:c r="A60" t="str">
        <x:v>T-5059</x:v>
      </x:c>
      <x:c r="B60" s="10" t="n">
        <x:v>45957</x:v>
      </x:c>
      <x:c r="C60" t="str">
        <x:v>Sahara Tech</x:v>
      </x:c>
      <x:c r="D60" t="str">
        <x:v>Motor Coupling</x:v>
      </x:c>
      <x:c r="E60" t="str">
        <x:v>Leakage</x:v>
      </x:c>
      <x:c r="F60" t="str">
        <x:v>Critical</x:v>
      </x:c>
      <x:c r="G60" s="14" t="n">
        <x:v>65.1</x:v>
      </x:c>
      <x:c r="H60" t="str">
        <x:v>No</x:v>
      </x:c>
      <x:c r="I60" t="str">
        <x:v>Assembly error</x:v>
      </x:c>
      <x:c r="J60" t="str">
        <x:v>Yes</x:v>
      </x:c>
    </x:row>
    <x:row r="61">
      <x:c r="A61" t="str">
        <x:v>T-5060</x:v>
      </x:c>
      <x:c r="B61" s="10" t="n">
        <x:v>45982</x:v>
      </x:c>
      <x:c r="C61" t="str">
        <x:v>Desert Build Co.</x:v>
      </x:c>
      <x:c r="D61" t="str">
        <x:v>Motor Coupling</x:v>
      </x:c>
      <x:c r="E61" t="str">
        <x:v>Leakage</x:v>
      </x:c>
      <x:c r="F61" t="str">
        <x:v>Medium</x:v>
      </x:c>
      <x:c r="G61" s="14" t="n">
        <x:v>21</x:v>
      </x:c>
      <x:c r="H61" t="str">
        <x:v>Yes</x:v>
      </x:c>
      <x:c r="I61" t="str">
        <x:v>Assembly error</x:v>
      </x:c>
      <x:c r="J61" t="str">
        <x:v>Yes</x:v>
      </x:c>
    </x:row>
    <x:row r="62">
      <x:c r="A62" t="str">
        <x:v>T-5061</x:v>
      </x:c>
      <x:c r="B62" s="10" t="n">
        <x:v>45813</x:v>
      </x:c>
      <x:c r="C62" t="str">
        <x:v>Green Valley Group</x:v>
      </x:c>
      <x:c r="D62" t="str">
        <x:v>Motor Coupling</x:v>
      </x:c>
      <x:c r="E62" t="str">
        <x:v>Panel Error</x:v>
      </x:c>
      <x:c r="F62" t="str">
        <x:v>Medium</x:v>
      </x:c>
      <x:c r="G62" s="14" t="n">
        <x:v>46.1</x:v>
      </x:c>
      <x:c r="H62" t="str">
        <x:v>Yes</x:v>
      </x:c>
      <x:c r="I62" t="str">
        <x:v>Transport damage</x:v>
      </x:c>
      <x:c r="J62" t="str">
        <x:v>Yes</x:v>
      </x:c>
    </x:row>
    <x:row r="63">
      <x:c r="A63" t="str">
        <x:v>T-5062</x:v>
      </x:c>
      <x:c r="B63" s="10" t="n">
        <x:v>45829</x:v>
      </x:c>
      <x:c r="C63" t="str">
        <x:v>Atlas Oil Services</x:v>
      </x:c>
      <x:c r="D63" t="str">
        <x:v>Motor Coupling</x:v>
      </x:c>
      <x:c r="E63" t="str">
        <x:v>Panel Error</x:v>
      </x:c>
      <x:c r="F63" t="str">
        <x:v>High</x:v>
      </x:c>
      <x:c r="G63" s="14" t="n">
        <x:v>63.7</x:v>
      </x:c>
      <x:c r="H63" t="str">
        <x:v>Yes</x:v>
      </x:c>
      <x:c r="I63" t="str">
        <x:v>Transport damage</x:v>
      </x:c>
      <x:c r="J63" t="str">
        <x:v>No</x:v>
      </x:c>
    </x:row>
    <x:row r="64">
      <x:c r="A64" t="str">
        <x:v>T-5063</x:v>
      </x:c>
      <x:c r="B64" s="10" t="n">
        <x:v>45782</x:v>
      </x:c>
      <x:c r="C64" t="str">
        <x:v>Misrata Energy</x:v>
      </x:c>
      <x:c r="D64" t="str">
        <x:v>Control Panel X</x:v>
      </x:c>
      <x:c r="E64" t="str">
        <x:v>Sensor Failure</x:v>
      </x:c>
      <x:c r="F64" t="str">
        <x:v>Low</x:v>
      </x:c>
      <x:c r="G64" s="14" t="n">
        <x:v>1.5</x:v>
      </x:c>
      <x:c r="H64" t="str">
        <x:v>Yes</x:v>
      </x:c>
      <x:c r="I64" t="str">
        <x:v>Design weakness</x:v>
      </x:c>
      <x:c r="J64" t="str">
        <x:v>No</x:v>
      </x:c>
    </x:row>
    <x:row r="65">
      <x:c r="A65" t="str">
        <x:v>T-5064</x:v>
      </x:c>
      <x:c r="B65" s="10" t="n">
        <x:v>45860</x:v>
      </x:c>
      <x:c r="C65" t="str">
        <x:v>Desert Build Co.</x:v>
      </x:c>
      <x:c r="D65" t="str">
        <x:v>Sensor Pack</x:v>
      </x:c>
      <x:c r="E65" t="str">
        <x:v>Panel Error</x:v>
      </x:c>
      <x:c r="F65" t="str">
        <x:v>Critical</x:v>
      </x:c>
      <x:c r="G65" s="14" t="n">
        <x:v>42.7</x:v>
      </x:c>
      <x:c r="H65" t="str">
        <x:v>Yes</x:v>
      </x:c>
      <x:c r="I65" t="str">
        <x:v>Configuration issue</x:v>
      </x:c>
      <x:c r="J65" t="str">
        <x:v>No</x:v>
      </x:c>
    </x:row>
    <x:row r="66">
      <x:c r="A66" t="str">
        <x:v>T-5065</x:v>
      </x:c>
      <x:c r="B66" s="10" t="n">
        <x:v>46030</x:v>
      </x:c>
      <x:c r="C66" t="str">
        <x:v>Desert Build Co.</x:v>
      </x:c>
      <x:c r="D66" t="str">
        <x:v>Seal Kit</x:v>
      </x:c>
      <x:c r="E66" t="str">
        <x:v>Calibration</x:v>
      </x:c>
      <x:c r="F66" t="str">
        <x:v>Critical</x:v>
      </x:c>
      <x:c r="G66" s="14" t="n">
        <x:v>25.2</x:v>
      </x:c>
      <x:c r="H66" t="str">
        <x:v>Yes</x:v>
      </x:c>
      <x:c r="I66" t="str">
        <x:v>Transport damage</x:v>
      </x:c>
      <x:c r="J66" t="str">
        <x:v>Yes</x:v>
      </x:c>
    </x:row>
    <x:row r="67">
      <x:c r="A67" t="str">
        <x:v>T-5066</x:v>
      </x:c>
      <x:c r="B67" s="10" t="n">
        <x:v>45957</x:v>
      </x:c>
      <x:c r="C67" t="str">
        <x:v>Sahara Tech</x:v>
      </x:c>
      <x:c r="D67" t="str">
        <x:v>Control Panel X</x:v>
      </x:c>
      <x:c r="E67" t="str">
        <x:v>Installation Support</x:v>
      </x:c>
      <x:c r="F67" t="str">
        <x:v>Medium</x:v>
      </x:c>
      <x:c r="G67" s="14" t="n">
        <x:v>34.2</x:v>
      </x:c>
      <x:c r="H67" t="str">
        <x:v>Yes</x:v>
      </x:c>
      <x:c r="I67" t="str">
        <x:v>Configuration issue</x:v>
      </x:c>
      <x:c r="J67" t="str">
        <x:v>No</x:v>
      </x:c>
    </x:row>
    <x:row r="68">
      <x:c r="A68" t="str">
        <x:v>T-5067</x:v>
      </x:c>
      <x:c r="B68" s="10" t="n">
        <x:v>46102</x:v>
      </x:c>
      <x:c r="C68" t="str">
        <x:v>Blue Delta Foods</x:v>
      </x:c>
      <x:c r="D68" t="str">
        <x:v>Sensor Pack</x:v>
      </x:c>
      <x:c r="E68" t="str">
        <x:v>Late Delivery</x:v>
      </x:c>
      <x:c r="F68" t="str">
        <x:v>Medium</x:v>
      </x:c>
      <x:c r="G68" s="14" t="n">
        <x:v>13.4</x:v>
      </x:c>
      <x:c r="H68" t="str">
        <x:v>Yes</x:v>
      </x:c>
      <x:c r="I68" t="str">
        <x:v>Transport damage</x:v>
      </x:c>
      <x:c r="J68" t="str">
        <x:v>No</x:v>
      </x:c>
    </x:row>
    <x:row r="69">
      <x:c r="A69" t="str">
        <x:v>T-5068</x:v>
      </x:c>
      <x:c r="B69" s="10" t="n">
        <x:v>45742</x:v>
      </x:c>
      <x:c r="C69" t="str">
        <x:v>North Coast Trading</x:v>
      </x:c>
      <x:c r="D69" t="str">
        <x:v>Pump Assembly B</x:v>
      </x:c>
      <x:c r="E69" t="str">
        <x:v>Calibration</x:v>
      </x:c>
      <x:c r="F69" t="str">
        <x:v>Low</x:v>
      </x:c>
      <x:c r="G69" s="14" t="n">
        <x:v>4.4</x:v>
      </x:c>
      <x:c r="H69" t="str">
        <x:v>Yes</x:v>
      </x:c>
      <x:c r="I69" t="str">
        <x:v>Transport damage</x:v>
      </x:c>
      <x:c r="J69" t="str">
        <x:v>No</x:v>
      </x:c>
    </x:row>
    <x:row r="70">
      <x:c r="A70" t="str">
        <x:v>T-5069</x:v>
      </x:c>
      <x:c r="B70" s="10" t="n">
        <x:v>45914</x:v>
      </x:c>
      <x:c r="C70" t="str">
        <x:v>Blue Delta Foods</x:v>
      </x:c>
      <x:c r="D70" t="str">
        <x:v>Pump Assembly B</x:v>
      </x:c>
      <x:c r="E70" t="str">
        <x:v>Sensor Failure</x:v>
      </x:c>
      <x:c r="F70" t="str">
        <x:v>High</x:v>
      </x:c>
      <x:c r="G70" s="14" t="n">
        <x:v>69.4</x:v>
      </x:c>
      <x:c r="H70" t="str">
        <x:v>Yes</x:v>
      </x:c>
      <x:c r="I70" t="str">
        <x:v>Supplier defect</x:v>
      </x:c>
      <x:c r="J70" t="str">
        <x:v>No</x:v>
      </x:c>
    </x:row>
    <x:row r="71">
      <x:c r="A71" t="str">
        <x:v>T-5070</x:v>
      </x:c>
      <x:c r="B71" s="10" t="n">
        <x:v>46075</x:v>
      </x:c>
      <x:c r="C71" t="str">
        <x:v>Desert Build Co.</x:v>
      </x:c>
      <x:c r="D71" t="str">
        <x:v>Control Panel X</x:v>
      </x:c>
      <x:c r="E71" t="str">
        <x:v>Calibration</x:v>
      </x:c>
      <x:c r="F71" t="str">
        <x:v>Low</x:v>
      </x:c>
      <x:c r="G71" s="14" t="n">
        <x:v>14.4</x:v>
      </x:c>
      <x:c r="H71" t="str">
        <x:v>Yes</x:v>
      </x:c>
      <x:c r="I71" t="str">
        <x:v>Supplier defect</x:v>
      </x:c>
      <x:c r="J71" t="str">
        <x:v>Yes</x:v>
      </x:c>
    </x:row>
    <x:row r="72">
      <x:c r="A72" t="str">
        <x:v>T-5071</x:v>
      </x:c>
      <x:c r="B72" s="10" t="n">
        <x:v>45672</x:v>
      </x:c>
      <x:c r="C72" t="str">
        <x:v>Misrata Energy</x:v>
      </x:c>
      <x:c r="D72" t="str">
        <x:v>Control Panel X</x:v>
      </x:c>
      <x:c r="E72" t="str">
        <x:v>Panel Error</x:v>
      </x:c>
      <x:c r="F72" t="str">
        <x:v>High</x:v>
      </x:c>
      <x:c r="G72" s="14" t="n">
        <x:v>2.9</x:v>
      </x:c>
      <x:c r="H72" t="str">
        <x:v>Yes</x:v>
      </x:c>
      <x:c r="I72" t="str">
        <x:v>Transport damage</x:v>
      </x:c>
      <x:c r="J72" t="str">
        <x:v>Yes</x:v>
      </x:c>
    </x:row>
    <x:row r="73">
      <x:c r="A73" t="str">
        <x:v>T-5072</x:v>
      </x:c>
      <x:c r="B73" s="10" t="n">
        <x:v>45830</x:v>
      </x:c>
      <x:c r="C73" t="str">
        <x:v>Sahara Tech</x:v>
      </x:c>
      <x:c r="D73" t="str">
        <x:v>Pump Assembly A</x:v>
      </x:c>
      <x:c r="E73" t="str">
        <x:v>Warranty Claim</x:v>
      </x:c>
      <x:c r="F73" t="str">
        <x:v>Medium</x:v>
      </x:c>
      <x:c r="G73" s="14" t="n">
        <x:v>4.2</x:v>
      </x:c>
      <x:c r="H73" t="str">
        <x:v>Yes</x:v>
      </x:c>
      <x:c r="I73" t="str">
        <x:v>User misuse</x:v>
      </x:c>
      <x:c r="J73" t="str">
        <x:v>Yes</x:v>
      </x:c>
    </x:row>
    <x:row r="74">
      <x:c r="A74" t="str">
        <x:v>T-5073</x:v>
      </x:c>
      <x:c r="B74" s="10" t="n">
        <x:v>45964</x:v>
      </x:c>
      <x:c r="C74" t="str">
        <x:v>Al Noor Industrial</x:v>
      </x:c>
      <x:c r="D74" t="str">
        <x:v>Control Panel X</x:v>
      </x:c>
      <x:c r="E74" t="str">
        <x:v>Late Delivery</x:v>
      </x:c>
      <x:c r="F74" t="str">
        <x:v>High</x:v>
      </x:c>
      <x:c r="G74" s="14" t="n">
        <x:v>2.8</x:v>
      </x:c>
      <x:c r="H74" t="str">
        <x:v>Yes</x:v>
      </x:c>
      <x:c r="I74" t="str">
        <x:v>Configuration issue</x:v>
      </x:c>
      <x:c r="J74" t="str">
        <x:v>Yes</x:v>
      </x:c>
    </x:row>
    <x:row r="75">
      <x:c r="A75" t="str">
        <x:v>T-5074</x:v>
      </x:c>
      <x:c r="B75" s="10" t="n">
        <x:v>45686</x:v>
      </x:c>
      <x:c r="C75" t="str">
        <x:v>Al Noor Industrial</x:v>
      </x:c>
      <x:c r="D75" t="str">
        <x:v>Seal Kit</x:v>
      </x:c>
      <x:c r="E75" t="str">
        <x:v>Calibration</x:v>
      </x:c>
      <x:c r="F75" t="str">
        <x:v>High</x:v>
      </x:c>
      <x:c r="G75" s="14" t="n">
        <x:v>24.4</x:v>
      </x:c>
      <x:c r="H75" t="str">
        <x:v>No</x:v>
      </x:c>
      <x:c r="I75" t="str">
        <x:v>Assembly error</x:v>
      </x:c>
      <x:c r="J75" t="str">
        <x:v>No</x:v>
      </x:c>
    </x:row>
    <x:row r="76">
      <x:c r="A76" t="str">
        <x:v>T-5075</x:v>
      </x:c>
      <x:c r="B76" s="10" t="n">
        <x:v>45929</x:v>
      </x:c>
      <x:c r="C76" t="str">
        <x:v>Blue Delta Foods</x:v>
      </x:c>
      <x:c r="D76" t="str">
        <x:v>Control Panel X</x:v>
      </x:c>
      <x:c r="E76" t="str">
        <x:v>Warranty Claim</x:v>
      </x:c>
      <x:c r="F76" t="str">
        <x:v>Medium</x:v>
      </x:c>
      <x:c r="G76" s="14" t="n">
        <x:v>25.4</x:v>
      </x:c>
      <x:c r="H76" t="str">
        <x:v>Yes</x:v>
      </x:c>
      <x:c r="I76" t="str">
        <x:v>Transport damage</x:v>
      </x:c>
      <x:c r="J76" t="str">
        <x:v>No</x:v>
      </x:c>
    </x:row>
    <x:row r="77">
      <x:c r="A77" t="str">
        <x:v>T-5076</x:v>
      </x:c>
      <x:c r="B77" s="10" t="n">
        <x:v>45966</x:v>
      </x:c>
      <x:c r="C77" t="str">
        <x:v>Desert Build Co.</x:v>
      </x:c>
      <x:c r="D77" t="str">
        <x:v>Control Panel X</x:v>
      </x:c>
      <x:c r="E77" t="str">
        <x:v>Sensor Failure</x:v>
      </x:c>
      <x:c r="F77" t="str">
        <x:v>High</x:v>
      </x:c>
      <x:c r="G77" s="14" t="n">
        <x:v>19.3</x:v>
      </x:c>
      <x:c r="H77" t="str">
        <x:v>Yes</x:v>
      </x:c>
      <x:c r="I77" t="str">
        <x:v>Supplier defect</x:v>
      </x:c>
      <x:c r="J77" t="str">
        <x:v>Yes</x:v>
      </x:c>
    </x:row>
    <x:row r="78">
      <x:c r="A78" t="str">
        <x:v>T-5077</x:v>
      </x:c>
      <x:c r="B78" s="10" t="n">
        <x:v>45816</x:v>
      </x:c>
      <x:c r="C78" t="str">
        <x:v>Tripoli Utilities</x:v>
      </x:c>
      <x:c r="D78" t="str">
        <x:v>Motor Coupling</x:v>
      </x:c>
      <x:c r="E78" t="str">
        <x:v>Late Delivery</x:v>
      </x:c>
      <x:c r="F78" t="str">
        <x:v>Medium</x:v>
      </x:c>
      <x:c r="G78" s="14" t="n">
        <x:v>26.7</x:v>
      </x:c>
      <x:c r="H78" t="str">
        <x:v>Yes</x:v>
      </x:c>
      <x:c r="I78" t="str">
        <x:v>User misuse</x:v>
      </x:c>
      <x:c r="J78" t="str">
        <x:v>No</x:v>
      </x:c>
    </x:row>
    <x:row r="79">
      <x:c r="A79" t="str">
        <x:v>T-5078</x:v>
      </x:c>
      <x:c r="B79" s="10" t="n">
        <x:v>45662</x:v>
      </x:c>
      <x:c r="C79" t="str">
        <x:v>Tripoli Utilities</x:v>
      </x:c>
      <x:c r="D79" t="str">
        <x:v>Control Panel Z</x:v>
      </x:c>
      <x:c r="E79" t="str">
        <x:v>Leakage</x:v>
      </x:c>
      <x:c r="F79" t="str">
        <x:v>High</x:v>
      </x:c>
      <x:c r="G79" s="14" t="n">
        <x:v>56</x:v>
      </x:c>
      <x:c r="H79" t="str">
        <x:v>Yes</x:v>
      </x:c>
      <x:c r="I79" t="str">
        <x:v>Configuration issue</x:v>
      </x:c>
      <x:c r="J79" t="str">
        <x:v>No</x:v>
      </x:c>
    </x:row>
    <x:row r="80">
      <x:c r="A80" t="str">
        <x:v>T-5079</x:v>
      </x:c>
      <x:c r="B80" s="10" t="n">
        <x:v>46045</x:v>
      </x:c>
      <x:c r="C80" t="str">
        <x:v>Blue Delta Foods</x:v>
      </x:c>
      <x:c r="D80" t="str">
        <x:v>Pump Assembly A</x:v>
      </x:c>
      <x:c r="E80" t="str">
        <x:v>Installation Support</x:v>
      </x:c>
      <x:c r="F80" t="str">
        <x:v>Low</x:v>
      </x:c>
      <x:c r="G80" s="14" t="n">
        <x:v>5.3</x:v>
      </x:c>
      <x:c r="H80" t="str">
        <x:v>Yes</x:v>
      </x:c>
      <x:c r="I80" t="str">
        <x:v>Transport damage</x:v>
      </x:c>
      <x:c r="J80" t="str">
        <x:v>Yes</x:v>
      </x:c>
    </x:row>
    <x:row r="81">
      <x:c r="A81" t="str">
        <x:v>T-5080</x:v>
      </x:c>
      <x:c r="B81" s="10" t="n">
        <x:v>45790</x:v>
      </x:c>
      <x:c r="C81" t="str">
        <x:v>Desert Build Co.</x:v>
      </x:c>
      <x:c r="D81" t="str">
        <x:v>Control Panel X</x:v>
      </x:c>
      <x:c r="E81" t="str">
        <x:v>Calibration</x:v>
      </x:c>
      <x:c r="F81" t="str">
        <x:v>Low</x:v>
      </x:c>
      <x:c r="G81" s="14" t="n">
        <x:v>13.6</x:v>
      </x:c>
      <x:c r="H81" t="str">
        <x:v>Yes</x:v>
      </x:c>
      <x:c r="I81" t="str">
        <x:v>Assembly error</x:v>
      </x:c>
      <x:c r="J81" t="str">
        <x:v>No</x:v>
      </x:c>
    </x:row>
    <x:row r="82">
      <x:c r="A82" t="str">
        <x:v>T-5081</x:v>
      </x:c>
      <x:c r="B82" s="10" t="n">
        <x:v>45837</x:v>
      </x:c>
      <x:c r="C82" t="str">
        <x:v>Misrata Energy</x:v>
      </x:c>
      <x:c r="D82" t="str">
        <x:v>Control Panel Z</x:v>
      </x:c>
      <x:c r="E82" t="str">
        <x:v>Warranty Claim</x:v>
      </x:c>
      <x:c r="F82" t="str">
        <x:v>Medium</x:v>
      </x:c>
      <x:c r="G82" s="14" t="n">
        <x:v>46.2</x:v>
      </x:c>
      <x:c r="H82" t="str">
        <x:v>Yes</x:v>
      </x:c>
      <x:c r="I82" t="str">
        <x:v>Design weakness</x:v>
      </x:c>
      <x:c r="J82" t="str">
        <x:v>No</x:v>
      </x:c>
    </x:row>
    <x:row r="83">
      <x:c r="A83" t="str">
        <x:v>T-5082</x:v>
      </x:c>
      <x:c r="B83" s="10" t="n">
        <x:v>45823</x:v>
      </x:c>
      <x:c r="C83" t="str">
        <x:v>Atlas Oil Services</x:v>
      </x:c>
      <x:c r="D83" t="str">
        <x:v>Pump Assembly A</x:v>
      </x:c>
      <x:c r="E83" t="str">
        <x:v>Calibration</x:v>
      </x:c>
      <x:c r="F83" t="str">
        <x:v>High</x:v>
      </x:c>
      <x:c r="G83" s="14" t="n">
        <x:v>5.6</x:v>
      </x:c>
      <x:c r="H83" t="str">
        <x:v>Yes</x:v>
      </x:c>
      <x:c r="I83" t="str">
        <x:v>Design weakness</x:v>
      </x:c>
      <x:c r="J83" t="str">
        <x:v>Yes</x:v>
      </x:c>
    </x:row>
    <x:row r="84">
      <x:c r="A84" t="str">
        <x:v>T-5083</x:v>
      </x:c>
      <x:c r="B84" s="10" t="n">
        <x:v>45837</x:v>
      </x:c>
      <x:c r="C84" t="str">
        <x:v>Atlas Oil Services</x:v>
      </x:c>
      <x:c r="D84" t="str">
        <x:v>Pump Assembly B</x:v>
      </x:c>
      <x:c r="E84" t="str">
        <x:v>Installation Support</x:v>
      </x:c>
      <x:c r="F84" t="str">
        <x:v>Medium</x:v>
      </x:c>
      <x:c r="G84" s="14" t="n">
        <x:v>65.4</x:v>
      </x:c>
      <x:c r="H84" t="str">
        <x:v>Yes</x:v>
      </x:c>
      <x:c r="I84" t="str">
        <x:v>Configuration issue</x:v>
      </x:c>
      <x:c r="J84" t="str">
        <x:v>Yes</x:v>
      </x:c>
    </x:row>
    <x:row r="85">
      <x:c r="A85" t="str">
        <x:v>T-5084</x:v>
      </x:c>
      <x:c r="B85" s="10" t="n">
        <x:v>45772</x:v>
      </x:c>
      <x:c r="C85" t="str">
        <x:v>Atlas Oil Services</x:v>
      </x:c>
      <x:c r="D85" t="str">
        <x:v>Control Panel X</x:v>
      </x:c>
      <x:c r="E85" t="str">
        <x:v>Leakage</x:v>
      </x:c>
      <x:c r="F85" t="str">
        <x:v>Low</x:v>
      </x:c>
      <x:c r="G85" s="14" t="n">
        <x:v>31.8</x:v>
      </x:c>
      <x:c r="H85" t="str">
        <x:v>Yes</x:v>
      </x:c>
      <x:c r="I85" t="str">
        <x:v>Assembly error</x:v>
      </x:c>
      <x:c r="J85" t="str">
        <x:v>No</x:v>
      </x:c>
    </x:row>
    <x:row r="86">
      <x:c r="A86" t="str">
        <x:v>T-5085</x:v>
      </x:c>
      <x:c r="B86" s="10" t="n">
        <x:v>45875</x:v>
      </x:c>
      <x:c r="C86" t="str">
        <x:v>North Coast Trading</x:v>
      </x:c>
      <x:c r="D86" t="str">
        <x:v>Control Panel X</x:v>
      </x:c>
      <x:c r="E86" t="str">
        <x:v>Late Delivery</x:v>
      </x:c>
      <x:c r="F86" t="str">
        <x:v>Low</x:v>
      </x:c>
      <x:c r="G86" s="14" t="n">
        <x:v>41.4</x:v>
      </x:c>
      <x:c r="H86" t="str">
        <x:v>Yes</x:v>
      </x:c>
      <x:c r="I86" t="str">
        <x:v>User misuse</x:v>
      </x:c>
      <x:c r="J86" t="str">
        <x:v>Yes</x:v>
      </x:c>
    </x:row>
    <x:row r="87">
      <x:c r="A87" t="str">
        <x:v>T-5086</x:v>
      </x:c>
      <x:c r="B87" s="10" t="n">
        <x:v>45727</x:v>
      </x:c>
      <x:c r="C87" t="str">
        <x:v>North Coast Trading</x:v>
      </x:c>
      <x:c r="D87" t="str">
        <x:v>Control Panel X</x:v>
      </x:c>
      <x:c r="E87" t="str">
        <x:v>Leakage</x:v>
      </x:c>
      <x:c r="F87" t="str">
        <x:v>Medium</x:v>
      </x:c>
      <x:c r="G87" s="14" t="n">
        <x:v>35.5</x:v>
      </x:c>
      <x:c r="H87" t="str">
        <x:v>Yes</x:v>
      </x:c>
      <x:c r="I87" t="str">
        <x:v>Assembly error</x:v>
      </x:c>
      <x:c r="J87" t="str">
        <x:v>No</x:v>
      </x:c>
    </x:row>
    <x:row r="88">
      <x:c r="A88" t="str">
        <x:v>T-5087</x:v>
      </x:c>
      <x:c r="B88" s="10" t="n">
        <x:v>45970</x:v>
      </x:c>
      <x:c r="C88" t="str">
        <x:v>Desert Build Co.</x:v>
      </x:c>
      <x:c r="D88" t="str">
        <x:v>Control Panel Z</x:v>
      </x:c>
      <x:c r="E88" t="str">
        <x:v>Sensor Failure</x:v>
      </x:c>
      <x:c r="F88" t="str">
        <x:v>Medium</x:v>
      </x:c>
      <x:c r="G88" s="14" t="n">
        <x:v>63.7</x:v>
      </x:c>
      <x:c r="H88" t="str">
        <x:v>Yes</x:v>
      </x:c>
      <x:c r="I88" t="str">
        <x:v>Configuration issue</x:v>
      </x:c>
      <x:c r="J88" t="str">
        <x:v>No</x:v>
      </x:c>
    </x:row>
    <x:row r="89">
      <x:c r="A89" t="str">
        <x:v>T-5088</x:v>
      </x:c>
      <x:c r="B89" s="10" t="n">
        <x:v>46057</x:v>
      </x:c>
      <x:c r="C89" t="str">
        <x:v>Mediterranean Pumps</x:v>
      </x:c>
      <x:c r="D89" t="str">
        <x:v>Pump Assembly B</x:v>
      </x:c>
      <x:c r="E89" t="str">
        <x:v>Late Delivery</x:v>
      </x:c>
      <x:c r="F89" t="str">
        <x:v>High</x:v>
      </x:c>
      <x:c r="G89" s="14" t="n">
        <x:v>71.6</x:v>
      </x:c>
      <x:c r="H89" t="str">
        <x:v>Yes</x:v>
      </x:c>
      <x:c r="I89" t="str">
        <x:v>Supplier defect</x:v>
      </x:c>
      <x:c r="J89" t="str">
        <x:v>Yes</x:v>
      </x:c>
    </x:row>
    <x:row r="90">
      <x:c r="A90" t="str">
        <x:v>T-5089</x:v>
      </x:c>
      <x:c r="B90" s="10" t="n">
        <x:v>45735</x:v>
      </x:c>
      <x:c r="C90" t="str">
        <x:v>Atlas Oil Services</x:v>
      </x:c>
      <x:c r="D90" t="str">
        <x:v>Pump Assembly B</x:v>
      </x:c>
      <x:c r="E90" t="str">
        <x:v>Panel Error</x:v>
      </x:c>
      <x:c r="F90" t="str">
        <x:v>Low</x:v>
      </x:c>
      <x:c r="G90" s="14" t="n">
        <x:v>53.3</x:v>
      </x:c>
      <x:c r="H90" t="str">
        <x:v>No</x:v>
      </x:c>
      <x:c r="I90" t="str">
        <x:v>Assembly error</x:v>
      </x:c>
      <x:c r="J90" t="str">
        <x:v>No</x:v>
      </x:c>
    </x:row>
    <x:row r="91">
      <x:c r="A91" t="str">
        <x:v>T-5090</x:v>
      </x:c>
      <x:c r="B91" s="10" t="n">
        <x:v>45861</x:v>
      </x:c>
      <x:c r="C91" t="str">
        <x:v>Blue Delta Foods</x:v>
      </x:c>
      <x:c r="D91" t="str">
        <x:v>Control Panel Z</x:v>
      </x:c>
      <x:c r="E91" t="str">
        <x:v>Panel Error</x:v>
      </x:c>
      <x:c r="F91" t="str">
        <x:v>High</x:v>
      </x:c>
      <x:c r="G91" s="14" t="n">
        <x:v>48.2</x:v>
      </x:c>
      <x:c r="H91" t="str">
        <x:v>Yes</x:v>
      </x:c>
      <x:c r="I91" t="str">
        <x:v>User misuse</x:v>
      </x:c>
      <x:c r="J91" t="str">
        <x:v>Yes</x:v>
      </x:c>
    </x:row>
  </x:sheetData>
  <x:conditionalFormatting sqref="G2:G91">
    <x:cfRule type="colorScale" priority="1">
      <x:colorScale>
        <x:cfvo type="min"/>
        <x:cfvo type="percentile" val="50"/>
        <x:cfvo type="max"/>
        <x:color rgb="DCFCE7"/>
        <x:color rgb="FEF3C7"/>
        <x:color rgb="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6ae8a9b1f584e7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.569999694824219" hidden="0" customWidth="1"/>
    <x:col min="2" max="2" width="19.290000915527344" hidden="0" customWidth="1"/>
    <x:col min="3" max="3" width="16.43000030517578" hidden="0" customWidth="1"/>
    <x:col min="4" max="4" width="16.56999969482422" hidden="0" customWidth="1"/>
    <x:col min="5" max="5" width="17.290000915527344" hidden="0" customWidth="1"/>
    <x:col min="6" max="6" width="15.430000305175781" hidden="0" customWidth="1"/>
    <x:col min="7" max="7" width="10.710000038146973" hidden="0" customWidth="1"/>
    <x:col min="8" max="8" width="17.56999969482422" hidden="0" customWidth="1"/>
    <x:col min="9" max="9" width="17" hidden="0" customWidth="1"/>
    <x:col min="10" max="10" width="18.139999389648438" hidden="0" customWidth="1"/>
    <x:col min="11" max="11" width="13.710000038146973" hidden="0" customWidth="1"/>
  </x:cols>
  <x:sheetData>
    <x:row r="1">
      <x:c r="A1" s="8" t="str">
        <x:v>Item_ID</x:v>
      </x:c>
      <x:c r="B1" s="8" t="str">
        <x:v>Item_Name</x:v>
      </x:c>
      <x:c r="C1" s="8" t="str">
        <x:v>Category</x:v>
      </x:c>
      <x:c r="D1" s="8" t="str">
        <x:v>Supplier</x:v>
      </x:c>
      <x:c r="E1" s="8" t="str">
        <x:v>Stock_On_Hand</x:v>
      </x:c>
      <x:c r="F1" s="8" t="str">
        <x:v>Reorder_Level</x:v>
      </x:c>
      <x:c r="G1" s="8" t="str">
        <x:v>Unit_Cost</x:v>
      </x:c>
      <x:c r="H1" s="8" t="str">
        <x:v>Inventory_Value</x:v>
      </x:c>
      <x:c r="I1" s="8" t="str">
        <x:v>Monthly_Usage</x:v>
      </x:c>
      <x:c r="J1" s="8" t="str">
        <x:v>Lead_Time_Days</x:v>
      </x:c>
      <x:c r="K1" s="8" t="str">
        <x:v>Stock_Status</x:v>
      </x:c>
    </x:row>
    <x:row r="2">
      <x:c r="A2" t="str">
        <x:v>RM-100</x:v>
      </x:c>
      <x:c r="B2" t="str">
        <x:v>Steel Housing</x:v>
      </x:c>
      <x:c r="C2" t="str">
        <x:v>Raw Material</x:v>
      </x:c>
      <x:c r="D2" t="str">
        <x:v>MetalWorks Co</x:v>
      </x:c>
      <x:c r="E2" t="n">
        <x:v>16</x:v>
      </x:c>
      <x:c r="F2" t="n">
        <x:v>86</x:v>
      </x:c>
      <x:c r="G2" s="11" t="n">
        <x:v>985</x:v>
      </x:c>
      <x:c r="H2" s="11" t="n">
        <x:v>15760</x:v>
      </x:c>
      <x:c r="I2" t="n">
        <x:v>29</x:v>
      </x:c>
      <x:c r="J2" t="n">
        <x:v>60</x:v>
      </x:c>
      <x:c r="K2" t="str">
        <x:v>Reorder</x:v>
      </x:c>
    </x:row>
    <x:row r="3">
      <x:c r="A3" t="str">
        <x:v>RM-110</x:v>
      </x:c>
      <x:c r="B3" t="str">
        <x:v>Copper Coil</x:v>
      </x:c>
      <x:c r="C3" t="str">
        <x:v>Raw Material</x:v>
      </x:c>
      <x:c r="D3" t="str">
        <x:v>Electra Supply</x:v>
      </x:c>
      <x:c r="E3" t="n">
        <x:v>168</x:v>
      </x:c>
      <x:c r="F3" t="n">
        <x:v>13</x:v>
      </x:c>
      <x:c r="G3" s="11" t="n">
        <x:v>180</x:v>
      </x:c>
      <x:c r="H3" s="11" t="n">
        <x:v>30240</x:v>
      </x:c>
      <x:c r="I3" t="n">
        <x:v>21</x:v>
      </x:c>
      <x:c r="J3" t="n">
        <x:v>30</x:v>
      </x:c>
      <x:c r="K3" t="str">
        <x:v>Excess</x:v>
      </x:c>
    </x:row>
    <x:row r="4">
      <x:c r="A4" t="str">
        <x:v>SP-200</x:v>
      </x:c>
      <x:c r="B4" t="str">
        <x:v>Pressure Sensor</x:v>
      </x:c>
      <x:c r="C4" t="str">
        <x:v>Component</x:v>
      </x:c>
      <x:c r="D4" t="str">
        <x:v>SensPro</x:v>
      </x:c>
      <x:c r="E4" t="n">
        <x:v>160</x:v>
      </x:c>
      <x:c r="F4" t="n">
        <x:v>41</x:v>
      </x:c>
      <x:c r="G4" s="11" t="n">
        <x:v>1788</x:v>
      </x:c>
      <x:c r="H4" s="11" t="n">
        <x:v>286080</x:v>
      </x:c>
      <x:c r="I4" t="n">
        <x:v>17</x:v>
      </x:c>
      <x:c r="J4" t="n">
        <x:v>45</x:v>
      </x:c>
      <x:c r="K4" t="str">
        <x:v>Excess</x:v>
      </x:c>
    </x:row>
    <x:row r="5">
      <x:c r="A5" t="str">
        <x:v>SP-210</x:v>
      </x:c>
      <x:c r="B5" t="str">
        <x:v>Seal Ring</x:v>
      </x:c>
      <x:c r="C5" t="str">
        <x:v>Component</x:v>
      </x:c>
      <x:c r="D5" t="str">
        <x:v>SealTech</x:v>
      </x:c>
      <x:c r="E5" t="n">
        <x:v>13</x:v>
      </x:c>
      <x:c r="F5" t="n">
        <x:v>18</x:v>
      </x:c>
      <x:c r="G5" s="11" t="n">
        <x:v>1321</x:v>
      </x:c>
      <x:c r="H5" s="11" t="n">
        <x:v>17173</x:v>
      </x:c>
      <x:c r="I5" t="n">
        <x:v>12</x:v>
      </x:c>
      <x:c r="J5" t="n">
        <x:v>7</x:v>
      </x:c>
      <x:c r="K5" t="str">
        <x:v>Reorder</x:v>
      </x:c>
    </x:row>
    <x:row r="6">
      <x:c r="A6" t="str">
        <x:v>SP-220</x:v>
      </x:c>
      <x:c r="B6" t="str">
        <x:v>Servo Driver</x:v>
      </x:c>
      <x:c r="C6" t="str">
        <x:v>Component</x:v>
      </x:c>
      <x:c r="D6" t="str">
        <x:v>MotionCore</x:v>
      </x:c>
      <x:c r="E6" t="n">
        <x:v>38</x:v>
      </x:c>
      <x:c r="F6" t="n">
        <x:v>74</x:v>
      </x:c>
      <x:c r="G6" s="11" t="n">
        <x:v>581</x:v>
      </x:c>
      <x:c r="H6" s="11" t="n">
        <x:v>22078</x:v>
      </x:c>
      <x:c r="I6" t="n">
        <x:v>71</x:v>
      </x:c>
      <x:c r="J6" t="n">
        <x:v>21</x:v>
      </x:c>
      <x:c r="K6" t="str">
        <x:v>Reorder</x:v>
      </x:c>
    </x:row>
    <x:row r="7">
      <x:c r="A7" t="str">
        <x:v>FG-300</x:v>
      </x:c>
      <x:c r="B7" t="str">
        <x:v>Pump Assembly A</x:v>
      </x:c>
      <x:c r="C7" t="str">
        <x:v>Finished Goods</x:v>
      </x:c>
      <x:c r="D7" t="str">
        <x:v>Internal</x:v>
      </x:c>
      <x:c r="E7" t="n">
        <x:v>8</x:v>
      </x:c>
      <x:c r="F7" t="n">
        <x:v>34</x:v>
      </x:c>
      <x:c r="G7" s="11" t="n">
        <x:v>942</x:v>
      </x:c>
      <x:c r="H7" s="11" t="n">
        <x:v>7536</x:v>
      </x:c>
      <x:c r="I7" t="n">
        <x:v>73</x:v>
      </x:c>
      <x:c r="J7" t="n">
        <x:v>10</x:v>
      </x:c>
      <x:c r="K7" t="str">
        <x:v>Reorder</x:v>
      </x:c>
    </x:row>
    <x:row r="8">
      <x:c r="A8" t="str">
        <x:v>FG-310</x:v>
      </x:c>
      <x:c r="B8" t="str">
        <x:v>Pump Assembly B</x:v>
      </x:c>
      <x:c r="C8" t="str">
        <x:v>Finished Goods</x:v>
      </x:c>
      <x:c r="D8" t="str">
        <x:v>Internal</x:v>
      </x:c>
      <x:c r="E8" t="n">
        <x:v>170</x:v>
      </x:c>
      <x:c r="F8" t="n">
        <x:v>81</x:v>
      </x:c>
      <x:c r="G8" s="11" t="n">
        <x:v>2075</x:v>
      </x:c>
      <x:c r="H8" s="11" t="n">
        <x:v>352750</x:v>
      </x:c>
      <x:c r="I8" t="n">
        <x:v>18</x:v>
      </x:c>
      <x:c r="J8" t="n">
        <x:v>30</x:v>
      </x:c>
      <x:c r="K8" t="str">
        <x:v>Normal</x:v>
      </x:c>
    </x:row>
    <x:row r="9">
      <x:c r="A9" t="str">
        <x:v>FG-320</x:v>
      </x:c>
      <x:c r="B9" t="str">
        <x:v>Control Panel X</x:v>
      </x:c>
      <x:c r="C9" t="str">
        <x:v>Finished Goods</x:v>
      </x:c>
      <x:c r="D9" t="str">
        <x:v>Internal</x:v>
      </x:c>
      <x:c r="E9" t="n">
        <x:v>98</x:v>
      </x:c>
      <x:c r="F9" t="n">
        <x:v>75</x:v>
      </x:c>
      <x:c r="G9" s="11" t="n">
        <x:v>341</x:v>
      </x:c>
      <x:c r="H9" s="11" t="n">
        <x:v>33418</x:v>
      </x:c>
      <x:c r="I9" t="n">
        <x:v>48</x:v>
      </x:c>
      <x:c r="J9" t="n">
        <x:v>10</x:v>
      </x:c>
      <x:c r="K9" t="str">
        <x:v>Normal</x:v>
      </x:c>
    </x:row>
    <x:row r="10">
      <x:c r="A10" t="str">
        <x:v>FG-330</x:v>
      </x:c>
      <x:c r="B10" t="str">
        <x:v>Control Panel Z</x:v>
      </x:c>
      <x:c r="C10" t="str">
        <x:v>Finished Goods</x:v>
      </x:c>
      <x:c r="D10" t="str">
        <x:v>Internal</x:v>
      </x:c>
      <x:c r="E10" t="n">
        <x:v>65</x:v>
      </x:c>
      <x:c r="F10" t="n">
        <x:v>21</x:v>
      </x:c>
      <x:c r="G10" s="11" t="n">
        <x:v>1143</x:v>
      </x:c>
      <x:c r="H10" s="11" t="n">
        <x:v>74295</x:v>
      </x:c>
      <x:c r="I10" t="n">
        <x:v>26</x:v>
      </x:c>
      <x:c r="J10" t="n">
        <x:v>7</x:v>
      </x:c>
      <x:c r="K10" t="str">
        <x:v>Excess</x:v>
      </x:c>
    </x:row>
    <x:row r="11">
      <x:c r="A11" t="str">
        <x:v>SP-240</x:v>
      </x:c>
      <x:c r="B11" t="str">
        <x:v>Motor Coupling</x:v>
      </x:c>
      <x:c r="C11" t="str">
        <x:v>Component</x:v>
      </x:c>
      <x:c r="D11" t="str">
        <x:v>DriveLine</x:v>
      </x:c>
      <x:c r="E11" t="n">
        <x:v>75</x:v>
      </x:c>
      <x:c r="F11" t="n">
        <x:v>46</x:v>
      </x:c>
      <x:c r="G11" s="11" t="n">
        <x:v>307</x:v>
      </x:c>
      <x:c r="H11" s="11" t="n">
        <x:v>23025</x:v>
      </x:c>
      <x:c r="I11" t="n">
        <x:v>9</x:v>
      </x:c>
      <x:c r="J11" t="n">
        <x:v>10</x:v>
      </x:c>
      <x:c r="K11" t="str">
        <x:v>Normal</x:v>
      </x:c>
    </x:row>
    <x:row r="12">
      <x:c r="A12" t="str">
        <x:v>SP-250</x:v>
      </x:c>
      <x:c r="B12" t="str">
        <x:v>Relay Module</x:v>
      </x:c>
      <x:c r="C12" t="str">
        <x:v>Component</x:v>
      </x:c>
      <x:c r="D12" t="str">
        <x:v>Electra Supply</x:v>
      </x:c>
      <x:c r="E12" t="n">
        <x:v>138</x:v>
      </x:c>
      <x:c r="F12" t="n">
        <x:v>18</x:v>
      </x:c>
      <x:c r="G12" s="11" t="n">
        <x:v>1696</x:v>
      </x:c>
      <x:c r="H12" s="11" t="n">
        <x:v>234048</x:v>
      </x:c>
      <x:c r="I12" t="n">
        <x:v>75</x:v>
      </x:c>
      <x:c r="J12" t="n">
        <x:v>14</x:v>
      </x:c>
      <x:c r="K12" t="str">
        <x:v>Excess</x:v>
      </x:c>
    </x:row>
    <x:row r="13">
      <x:c r="A13" t="str">
        <x:v>SP-260</x:v>
      </x:c>
      <x:c r="B13" t="str">
        <x:v>Sensor Pack</x:v>
      </x:c>
      <x:c r="C13" t="str">
        <x:v>Finished Goods</x:v>
      </x:c>
      <x:c r="D13" t="str">
        <x:v>Internal</x:v>
      </x:c>
      <x:c r="E13" t="n">
        <x:v>76</x:v>
      </x:c>
      <x:c r="F13" t="n">
        <x:v>13</x:v>
      </x:c>
      <x:c r="G13" s="11" t="n">
        <x:v>1359</x:v>
      </x:c>
      <x:c r="H13" s="11" t="n">
        <x:v>103284</x:v>
      </x:c>
      <x:c r="I13" t="n">
        <x:v>9</x:v>
      </x:c>
      <x:c r="J13" t="n">
        <x:v>45</x:v>
      </x:c>
      <x:c r="K13" t="str">
        <x:v>Excess</x:v>
      </x:c>
    </x:row>
  </x:sheetData>
  <x:conditionalFormatting sqref="K2:K13">
    <x:cfRule type="expression" dxfId="2" priority="1">
      <x:formula>K2="Reorder"</x:formula>
    </x:cfRule>
    <x:cfRule type="expression" dxfId="3" priority="2">
      <x:formula>K2="Excess"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24069249e8c49f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92.13999938964844" hidden="0" customWidth="1"/>
    <x:col min="2" max="2" width="15.430000305175781" hidden="0" customWidth="1"/>
    <x:col min="4" max="4" width="19.290000915527344" hidden="0" customWidth="1"/>
    <x:col min="5" max="5" width="15.430000305175781" hidden="0" customWidth="1"/>
    <x:col min="6" max="6" width="13.430000305175781" hidden="0" customWidth="1"/>
    <x:col min="7" max="7" width="5.570000171661377" hidden="0" customWidth="1"/>
    <x:col min="3" max="3" width="0.05000000074505806" hidden="0" customWidth="1"/>
    <x:col min="8" max="8" width="0.05000000074505806" hidden="0" customWidth="1"/>
  </x:cols>
  <x:sheetData>
    <x:row r="1" ht="17.08984375" hidden="0" customHeight="1">
      <x:c r="A1" s="4" t="str">
        <x:v>Business Summary Dashboard</x:v>
      </x:c>
      <x:c r="B1" s="4"/>
      <x:c r="C1" s="4"/>
      <x:c r="D1" s="4"/>
      <x:c r="E1" s="4"/>
      <x:c r="F1" s="4"/>
      <x:c r="G1" s="4"/>
      <x:c r="H1" s="4"/>
    </x:row>
    <x:row r="3" ht="17.08984375" hidden="0" customHeight="1">
      <x:c r="A3" s="8" t="str">
        <x:v>Metric</x:v>
      </x:c>
      <x:c r="B3" s="8" t="str">
        <x:v>Value</x:v>
      </x:c>
      <x:c r="D3" s="8" t="str">
        <x:v>Top Products</x:v>
      </x:c>
      <x:c r="E3" s="8" t="str"/>
      <x:c r="F3" s="8" t="str"/>
      <x:c r="G3" s="8" t="str"/>
    </x:row>
    <x:row r="4" ht="17.08984375" hidden="0" customHeight="1">
      <x:c r="A4" s="16" t="str">
        <x:v>Total Revenue</x:v>
      </x:c>
      <x:c r="B4" s="11" t="n">
        <x:f>SUM(Sales_Data!H2:H145)</x:f>
        <x:v>4971640</x:v>
      </x:c>
      <x:c r="D4" s="19" t="str">
        <x:v>Product</x:v>
      </x:c>
      <x:c r="E4" s="19" t="str">
        <x:v>Revenue</x:v>
      </x:c>
      <x:c r="F4" s="19" t="str">
        <x:v>Gross Profit</x:v>
      </x:c>
      <x:c r="G4" s="19" t="str">
        <x:v>Units</x:v>
      </x:c>
    </x:row>
    <x:row r="5" ht="17.08984375" hidden="0" customHeight="1">
      <x:c r="A5" s="16" t="str">
        <x:v>Total Gross Profit</x:v>
      </x:c>
      <x:c r="B5" s="11" t="n">
        <x:f>SUM(Sales_Data!J2:J145)</x:f>
        <x:v>1564275</x:v>
      </x:c>
      <x:c r="D5" t="str">
        <x:v>Pump Assembly A</x:v>
      </x:c>
      <x:c r="E5" s="11" t="n">
        <x:f>SUMIF(Sales_Data!E:E,"Pump Assembly A",Sales_Data!H:H)</x:f>
        <x:v>1834530</x:v>
      </x:c>
      <x:c r="F5" s="11" t="n">
        <x:f>SUMIF(Sales_Data!E:E,"Pump Assembly A",Sales_Data!J:J)</x:f>
        <x:v>543155</x:v>
      </x:c>
      <x:c r="G5" s="12" t="n">
        <x:f>SUMIF(Sales_Data!E:E,"Pump Assembly A",Sales_Data!F:F)</x:f>
        <x:v>381</x:v>
      </x:c>
    </x:row>
    <x:row r="6" ht="17.08984375" hidden="0" customHeight="1">
      <x:c r="A6" s="16" t="str">
        <x:v>Gross Margin %</x:v>
      </x:c>
      <x:c r="B6" s="17" t="n">
        <x:f>B5/B4</x:f>
        <x:v>0.3146396360154798</x:v>
      </x:c>
      <x:c r="D6" t="str">
        <x:v>Pump Assembly B</x:v>
      </x:c>
      <x:c r="E6" s="11" t="n">
        <x:f>SUMIF(Sales_Data!E:E,"Pump Assembly B",Sales_Data!H:H)</x:f>
        <x:v>1048020</x:v>
      </x:c>
      <x:c r="F6" s="11" t="n">
        <x:f>SUMIF(Sales_Data!E:E,"Pump Assembly B",Sales_Data!J:J)</x:f>
        <x:v>287435</x:v>
      </x:c>
      <x:c r="G6" s="12" t="n">
        <x:f>SUMIF(Sales_Data!E:E,"Pump Assembly B",Sales_Data!F:F)</x:f>
        <x:v>168</x:v>
      </x:c>
    </x:row>
    <x:row r="7" ht="17.08984375" hidden="0" customHeight="1">
      <x:c r="A7" s="16" t="str">
        <x:v>Total Expenses</x:v>
      </x:c>
      <x:c r="B7" s="11" t="n">
        <x:f>SUM(Expenses!G2:G73)</x:f>
        <x:v>506910</x:v>
      </x:c>
      <x:c r="D7" t="str">
        <x:v>Control Panel X</x:v>
      </x:c>
      <x:c r="E7" s="11" t="n">
        <x:f>SUMIF(Sales_Data!E:E,"Control Panel X",Sales_Data!H:H)</x:f>
        <x:v>1163900</x:v>
      </x:c>
      <x:c r="F7" s="11" t="n">
        <x:f>SUMIF(Sales_Data!E:E,"Control Panel X",Sales_Data!J:J)</x:f>
        <x:v>402800</x:v>
      </x:c>
      <x:c r="G7" s="12" t="n">
        <x:f>SUMIF(Sales_Data!E:E,"Control Panel X",Sales_Data!F:F)</x:f>
        <x:v>374</x:v>
      </x:c>
    </x:row>
    <x:row r="8" ht="17.08984375" hidden="0" customHeight="1">
      <x:c r="A8" s="16" t="str">
        <x:v>Net Operating Result</x:v>
      </x:c>
      <x:c r="B8" s="11" t="n">
        <x:f>B5-B7</x:f>
        <x:v>1057365</x:v>
      </x:c>
      <x:c r="D8" t="str">
        <x:v>Control Panel Z</x:v>
      </x:c>
      <x:c r="E8" s="11" t="n">
        <x:f>SUMIF(Sales_Data!E:E,"Control Panel Z",Sales_Data!H:H)</x:f>
        <x:v>622230</x:v>
      </x:c>
      <x:c r="F8" s="11" t="n">
        <x:f>SUMIF(Sales_Data!E:E,"Control Panel Z",Sales_Data!J:J)</x:f>
        <x:v>199815</x:v>
      </x:c>
      <x:c r="G8" s="12" t="n">
        <x:f>SUMIF(Sales_Data!E:E,"Control Panel Z",Sales_Data!F:F)</x:f>
        <x:v>148</x:v>
      </x:c>
    </x:row>
    <x:row r="9" ht="17.08984375" hidden="0" customHeight="1">
      <x:c r="A9" s="16" t="str">
        <x:v>Active Employees</x:v>
      </x:c>
      <x:c r="B9" s="12" t="n">
        <x:f>COUNTIF(Employees!K2:K87,"Active")</x:f>
        <x:v>83</x:v>
      </x:c>
      <x:c r="D9" t="str">
        <x:v>Seal Kit</x:v>
      </x:c>
      <x:c r="E9" s="11" t="n">
        <x:f>SUMIF(Sales_Data!E:E,"Seal Kit",Sales_Data!H:H)</x:f>
        <x:v>129680</x:v>
      </x:c>
      <x:c r="F9" s="11" t="n">
        <x:f>SUMIF(Sales_Data!E:E,"Seal Kit",Sales_Data!J:J)</x:f>
        <x:v>49400</x:v>
      </x:c>
      <x:c r="G9" s="12" t="n">
        <x:f>SUMIF(Sales_Data!E:E,"Seal Kit",Sales_Data!F:F)</x:f>
        <x:v>830</x:v>
      </x:c>
    </x:row>
    <x:row r="10" ht="17.08984375" hidden="0" customHeight="1">
      <x:c r="A10" s="16" t="str">
        <x:v>Avg Performance Score</x:v>
      </x:c>
      <x:c r="B10" s="13" t="n">
        <x:f>AVERAGE(Employees!H2:H87)</x:f>
        <x:v>3.5893023255813956</x:v>
      </x:c>
      <x:c r="D10" t="str">
        <x:v>Motor Coupling</x:v>
      </x:c>
      <x:c r="E10" s="11" t="n">
        <x:f>SUMIF(Sales_Data!E:E,"Motor Coupling",Sales_Data!H:H)</x:f>
        <x:v>85400</x:v>
      </x:c>
      <x:c r="F10" s="11" t="n">
        <x:f>SUMIF(Sales_Data!E:E,"Motor Coupling",Sales_Data!J:J)</x:f>
        <x:v>41045</x:v>
      </x:c>
      <x:c r="G10" s="12" t="n">
        <x:f>SUMIF(Sales_Data!E:E,"Motor Coupling",Sales_Data!F:F)</x:f>
        <x:v>247</x:v>
      </x:c>
    </x:row>
    <x:row r="11" ht="17.08984375" hidden="0" customHeight="1">
      <x:c r="A11" s="16" t="str">
        <x:v>Open Tickets</x:v>
      </x:c>
      <x:c r="B11" s="12" t="n">
        <x:f>COUNTIF(Support_Tickets!H2:H91,"No")</x:f>
        <x:v>11</x:v>
      </x:c>
      <x:c r="D11" t="str">
        <x:v>Sensor Pack</x:v>
      </x:c>
      <x:c r="E11" s="11" t="n">
        <x:f>SUMIF(Sales_Data!E:E,"Sensor Pack",Sales_Data!H:H)</x:f>
        <x:v>87880</x:v>
      </x:c>
      <x:c r="F11" s="11" t="n">
        <x:f>SUMIF(Sales_Data!E:E,"Sensor Pack",Sales_Data!J:J)</x:f>
        <x:v>40625</x:v>
      </x:c>
      <x:c r="G11" s="12" t="n">
        <x:f>SUMIF(Sales_Data!E:E,"Sensor Pack",Sales_Data!F:F)</x:f>
        <x:v>170</x:v>
      </x:c>
    </x:row>
    <x:row r="12" ht="17.08984375" hidden="0" customHeight="1">
      <x:c r="A12" s="16" t="str">
        <x:v>Inventory Value</x:v>
      </x:c>
      <x:c r="B12" s="11" t="n">
        <x:f>SUM(Inventory!H2:H13)</x:f>
        <x:v>1199687</x:v>
      </x:c>
    </x:row>
    <x:row r="15" ht="17.08984375" hidden="0" customHeight="1">
      <x:c r="A15" s="8" t="str">
        <x:v>Interpretation Hints for the LLM</x:v>
      </x:c>
      <x:c r="B15" s="8"/>
      <x:c r="C15" s="8"/>
      <x:c r="D15" s="8"/>
      <x:c r="E15" s="8"/>
      <x:c r="F15" s="8"/>
      <x:c r="G15" s="8"/>
      <x:c r="H15" s="8"/>
    </x:row>
    <x:row r="16" ht="17.08984375" hidden="0" customHeight="1">
      <x:c r="A16" s="9" t="str">
        <x:v>Check whether revenue concentration in a few customers creates risk.</x:v>
      </x:c>
      <x:c r="B16" s="9"/>
      <x:c r="C16" s="9"/>
      <x:c r="D16" s="9"/>
      <x:c r="E16" s="9"/>
      <x:c r="F16" s="9"/>
      <x:c r="G16" s="9"/>
      <x:c r="H16" s="9"/>
    </x:row>
    <x:row r="17" ht="17.08984375" hidden="0" customHeight="1">
      <x:c r="A17" s="9" t="str">
        <x:v>Compare departments with high overtime and lower performance or higher absence.</x:v>
      </x:c>
      <x:c r="B17" s="9"/>
      <x:c r="C17" s="9"/>
      <x:c r="D17" s="9"/>
      <x:c r="E17" s="9"/>
      <x:c r="F17" s="9"/>
      <x:c r="G17" s="9"/>
      <x:c r="H17" s="9"/>
    </x:row>
    <x:row r="18" ht="17.08984375" hidden="0" customHeight="1">
      <x:c r="A18" s="9" t="str">
        <x:v>Look for products with high ticket volume relative to sales volume.</x:v>
      </x:c>
      <x:c r="B18" s="9"/>
      <x:c r="C18" s="9"/>
      <x:c r="D18" s="9"/>
      <x:c r="E18" s="9"/>
      <x:c r="F18" s="9"/>
      <x:c r="G18" s="9"/>
      <x:c r="H18" s="9"/>
    </x:row>
    <x:row r="19" ht="17.08984375" hidden="0" customHeight="1">
      <x:c r="A19" s="9" t="str">
        <x:v>Find stock items marked Reorder or Excess and tie them to cash flow impact.</x:v>
      </x:c>
      <x:c r="B19" s="9"/>
      <x:c r="C19" s="9"/>
      <x:c r="D19" s="9"/>
      <x:c r="E19" s="9"/>
      <x:c r="F19" s="9"/>
      <x:c r="G19" s="9"/>
      <x:c r="H19" s="9"/>
    </x:row>
    <x:row r="20" ht="17.08984375" hidden="0" customHeight="1">
      <x:c r="A20" s="9" t="str">
        <x:v>Net result is simplified: gross profit minus expenses only.</x:v>
      </x:c>
      <x:c r="B20" s="9"/>
      <x:c r="C20" s="9"/>
      <x:c r="D20" s="9"/>
      <x:c r="E20" s="9"/>
      <x:c r="F20" s="9"/>
      <x:c r="G20" s="9"/>
      <x:c r="H20" s="9"/>
    </x:row>
  </x:sheetData>
  <x:mergeCells>
    <x:mergeCell ref="A1:H1"/>
    <x:mergeCell ref="D3:G3"/>
    <x:mergeCell ref="A15:H15"/>
    <x:mergeCell ref="A16:H16"/>
    <x:mergeCell ref="A17:H17"/>
    <x:mergeCell ref="A18:H18"/>
    <x:mergeCell ref="A19:H19"/>
    <x:mergeCell ref="A20:H20"/>
  </x:mergeCells>
  <x:pageMargins left="0.7" right="0.7" top="0.75" bottom="0.75" header="0.3" footer="0.3"/>
  <x:drawing xmlns:r="http://schemas.openxmlformats.org/officeDocument/2006/relationships" r:id="Re01484ed099b46af"/>
</x:worksheet>
</file>